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344bd561e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5b5bece70644e4"/>
    <x:sheet xmlns:r="http://schemas.openxmlformats.org/officeDocument/2006/relationships" name="Assumptions" sheetId="2" r:id="Rbcffa7b933cb420f"/>
    <x:sheet xmlns:r="http://schemas.openxmlformats.org/officeDocument/2006/relationships" name="Program Allocation" sheetId="3" r:id="R86d3f926ff334455"/>
    <x:sheet xmlns:r="http://schemas.openxmlformats.org/officeDocument/2006/relationships" name="Form 1023 Summary" sheetId="4" r:id="Rf5c143570d864b31"/>
    <x:sheet xmlns:r="http://schemas.openxmlformats.org/officeDocument/2006/relationships" name="Support Mix" sheetId="5" r:id="R00a69ade11b34934"/>
    <x:sheet xmlns:r="http://schemas.openxmlformats.org/officeDocument/2006/relationships" name="Sources" sheetId="6" r:id="R6e59b04beace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-$#,##0"/>
    <x:numFmt numFmtId="201" formatCode="0.0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334155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5" fillId="6" borderId="0" xfId="0" applyNumberFormat="1" applyFont="1" applyFill="1" applyBorder="1"/>
    <x:xf numFmtId="200" fontId="5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1" fontId="5" fillId="6" borderId="0" xfId="0" applyNumberFormat="1" applyFont="1" applyFill="1" applyBorder="1"/>
    <x:xf numFmtId="201" fontId="5" fillId="6" borderId="1" xfId="0" applyNumberFormat="1" applyFont="1" applyFill="1" applyBorder="1"/>
    <x:xf numFmtId="201" fontId="5" fillId="6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65186a9d7440a2" /><Relationship Type="http://schemas.openxmlformats.org/officeDocument/2006/relationships/theme" Target="/xl/theme/theme1.xml" Id="R6d8cbc4726c64165" /><Relationship Type="http://schemas.openxmlformats.org/officeDocument/2006/relationships/sharedStrings" Target="/xl/sharedStrings.xml" Id="Re3f67fe2238d4783" /><Relationship Type="http://schemas.openxmlformats.org/officeDocument/2006/relationships/worksheet" Target="/xl/worksheets/sheet1.xml" Id="R8f5b5bece70644e4" /><Relationship Type="http://schemas.openxmlformats.org/officeDocument/2006/relationships/worksheet" Target="/xl/worksheets/sheet2.xml" Id="Rbcffa7b933cb420f" /><Relationship Type="http://schemas.openxmlformats.org/officeDocument/2006/relationships/worksheet" Target="/xl/worksheets/sheet3.xml" Id="R86d3f926ff334455" /><Relationship Type="http://schemas.openxmlformats.org/officeDocument/2006/relationships/worksheet" Target="/xl/worksheets/sheet4.xml" Id="Rf5c143570d864b31" /><Relationship Type="http://schemas.openxmlformats.org/officeDocument/2006/relationships/worksheet" Target="/xl/worksheets/sheet5.xml" Id="R00a69ade11b34934" /><Relationship Type="http://schemas.openxmlformats.org/officeDocument/2006/relationships/worksheet" Target="/xl/worksheets/sheet6.xml" Id="R6e59b04beace40cb" /></Relationships>
</file>

<file path=xl/tables/table1.xml><?xml version="1.0" encoding="utf-8"?>
<x:table xmlns:x="http://schemas.openxmlformats.org/spreadsheetml/2006/main" id="1" name="AssumptionsTable" displayName="AssumptionsTable" ref="A3:E33" headerRowCount="1" totalsRowCount="0" totalsRowShown="0">
  <x:tableColumns count="5">
    <x:tableColumn id="1" name="Category"/>
    <x:tableColumn id="2" name="Line Item"/>
    <x:tableColumn id="3" name="Year 1"/>
    <x:tableColumn id="4" name="Year 2"/>
    <x:tableColumn id="5" name="Year 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ff72530c8145f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" t="str">
        <x:v>Form 1023 Three-Year Financial Projection Workbook</x:v>
      </x:c>
      <x:c r="B1" s="4"/>
      <x:c r="C1" s="4"/>
      <x:c r="D1" s="4"/>
      <x:c r="E1" s="4"/>
      <x:c r="F1" s="4"/>
    </x:row>
    <x:row r="3">
      <x:c r="A3" s="10" t="str">
        <x:v>Purpose</x:v>
      </x:c>
      <x:c r="B3" s="10" t="str"/>
      <x:c r="C3" s="10" t="str"/>
      <x:c r="D3" s="10" t="str"/>
      <x:c r="E3" s="10" t="str"/>
      <x:c r="F3" s="10" t="str"/>
    </x:row>
    <x:row r="4" ht="34" customHeight="1">
      <x:c r="A4" s="16" t="str">
        <x:v>This workbook is a planning aid for the full IRS Form 1023 application. Enter good-faith estimates only; do not invent figures to satisfy a classification test.</x:v>
      </x:c>
      <x:c r="B4" s="16" t="str"/>
      <x:c r="C4" s="16" t="str"/>
      <x:c r="D4" s="16" t="str"/>
      <x:c r="E4" s="16" t="str"/>
      <x:c r="F4" s="16" t="str"/>
    </x:row>
    <x:row r="5">
      <x:c r="A5" s="10" t="str">
        <x:v>How to use</x:v>
      </x:c>
      <x:c r="B5" s="10" t="str"/>
      <x:c r="C5" s="10" t="str"/>
      <x:c r="D5" s="10" t="str"/>
      <x:c r="E5" s="10" t="str"/>
      <x:c r="F5" s="10" t="str"/>
    </x:row>
    <x:row r="6" ht="34" customHeight="1">
      <x:c r="A6" s="16" t="str">
        <x:v>1. Enter Year 1–3 assumptions in the yellow cells on the Assumptions sheet.</x:v>
      </x:c>
      <x:c r="B6" s="16" t="str"/>
      <x:c r="C6" s="16" t="str"/>
      <x:c r="D6" s="16" t="str"/>
      <x:c r="E6" s="16" t="str"/>
      <x:c r="F6" s="16" t="str"/>
    </x:row>
    <x:row r="7" ht="34" customHeight="1">
      <x:c r="A7" s="16" t="str">
        <x:v>2. Confirm or edit the activity/time allocation on Program Allocation; filing-ready total must equal 100%.</x:v>
      </x:c>
      <x:c r="B7" s="16" t="str"/>
      <x:c r="C7" s="16" t="str"/>
      <x:c r="D7" s="16" t="str"/>
      <x:c r="E7" s="16" t="str"/>
      <x:c r="F7" s="16" t="str"/>
    </x:row>
    <x:row r="8" ht="34" customHeight="1">
      <x:c r="A8" s="16" t="str">
        <x:v>3. Review Form 1023 Summary for the projected statement of revenue and expenses.</x:v>
      </x:c>
      <x:c r="B8" s="16" t="str"/>
      <x:c r="C8" s="16" t="str"/>
      <x:c r="D8" s="16" t="str"/>
      <x:c r="E8" s="16" t="str"/>
      <x:c r="F8" s="16" t="str"/>
    </x:row>
    <x:row r="9" ht="34" customHeight="1">
      <x:c r="A9" s="16" t="str">
        <x:v>4. Review Support Mix as an early-warning planning indicator only. It is not a substitute for the IRS public-support computation or professional tax advice.</x:v>
      </x:c>
      <x:c r="B9" s="16" t="str"/>
      <x:c r="C9" s="16" t="str"/>
      <x:c r="D9" s="16" t="str"/>
      <x:c r="E9" s="16" t="str"/>
      <x:c r="F9" s="16" t="str"/>
    </x:row>
    <x:row r="10" ht="34" customHeight="1">
      <x:c r="A10" s="16" t="str">
        <x:v>5. Reconcile every material number to the narrative of activities and board-approved plans before filing.</x:v>
      </x:c>
      <x:c r="B10" s="16" t="str"/>
      <x:c r="C10" s="16" t="str"/>
      <x:c r="D10" s="16" t="str"/>
      <x:c r="E10" s="16" t="str"/>
      <x:c r="F10" s="16" t="str"/>
    </x:row>
  </x:sheetData>
  <x:mergeCells>
    <x:mergeCell ref="A1:F1"/>
    <x:mergeCell ref="A3:F3"/>
    <x:mergeCell ref="A5:F5"/>
    <x:mergeCell ref="A4:F4"/>
    <x:mergeCell ref="A6:F6"/>
    <x:mergeCell ref="A7:F7"/>
    <x:mergeCell ref="A8:F8"/>
    <x:mergeCell ref="A9:F9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4" t="str">
        <x:v>Editable Three-Year Assumptions</x:v>
      </x:c>
      <x:c r="B1" s="4"/>
      <x:c r="C1" s="4"/>
      <x:c r="D1" s="4"/>
      <x:c r="E1" s="4"/>
    </x:row>
    <x:row r="3">
      <x:c r="A3" s="24" t="str">
        <x:v>Category</x:v>
      </x:c>
      <x:c r="B3" s="24" t="str">
        <x:v>Line Item</x:v>
      </x:c>
      <x:c r="C3" s="24" t="str">
        <x:v>Year 1</x:v>
      </x:c>
      <x:c r="D3" s="24" t="str">
        <x:v>Year 2</x:v>
      </x:c>
      <x:c r="E3" s="24" t="str">
        <x:v>Year 3</x:v>
      </x:c>
    </x:row>
    <x:row r="4">
      <x:c r="A4" s="36" t="str">
        <x:v>Revenue</x:v>
      </x:c>
      <x:c r="B4" s="36" t="str">
        <x:v>Unrestricted individual contributions</x:v>
      </x:c>
      <x:c r="C4" s="37" t="n">
        <x:v>0</x:v>
      </x:c>
      <x:c r="D4" s="37" t="n">
        <x:v>0</x:v>
      </x:c>
      <x:c r="E4" s="37" t="n">
        <x:v>0</x:v>
      </x:c>
    </x:row>
    <x:row r="5">
      <x:c r="A5" s="36" t="str">
        <x:v>Revenue</x:v>
      </x:c>
      <x:c r="B5" s="36" t="str">
        <x:v>Restricted individual contributions</x:v>
      </x:c>
      <x:c r="C5" s="37" t="n">
        <x:v>0</x:v>
      </x:c>
      <x:c r="D5" s="37" t="n">
        <x:v>0</x:v>
      </x:c>
      <x:c r="E5" s="37" t="n">
        <x:v>0</x:v>
      </x:c>
    </x:row>
    <x:row r="6">
      <x:c r="A6" s="36" t="str">
        <x:v>Revenue</x:v>
      </x:c>
      <x:c r="B6" s="36" t="str">
        <x:v>Grants from public charities / foundations</x:v>
      </x:c>
      <x:c r="C6" s="37" t="n">
        <x:v>0</x:v>
      </x:c>
      <x:c r="D6" s="37" t="n">
        <x:v>0</x:v>
      </x:c>
      <x:c r="E6" s="37" t="n">
        <x:v>0</x:v>
      </x:c>
    </x:row>
    <x:row r="7">
      <x:c r="A7" s="36" t="str">
        <x:v>Revenue</x:v>
      </x:c>
      <x:c r="B7" s="36" t="str">
        <x:v>Government grants</x:v>
      </x:c>
      <x:c r="C7" s="37" t="n">
        <x:v>0</x:v>
      </x:c>
      <x:c r="D7" s="37" t="n">
        <x:v>0</x:v>
      </x:c>
      <x:c r="E7" s="37" t="n">
        <x:v>0</x:v>
      </x:c>
    </x:row>
    <x:row r="8">
      <x:c r="A8" s="36" t="str">
        <x:v>Revenue</x:v>
      </x:c>
      <x:c r="B8" s="36" t="str">
        <x:v>Program / educational fees</x:v>
      </x:c>
      <x:c r="C8" s="37" t="n">
        <x:v>0</x:v>
      </x:c>
      <x:c r="D8" s="37" t="n">
        <x:v>0</x:v>
      </x:c>
      <x:c r="E8" s="37" t="n">
        <x:v>0</x:v>
      </x:c>
    </x:row>
    <x:row r="9">
      <x:c r="A9" s="36" t="str">
        <x:v>Revenue</x:v>
      </x:c>
      <x:c r="B9" s="36" t="str">
        <x:v>Publication / material sales</x:v>
      </x:c>
      <x:c r="C9" s="37" t="n">
        <x:v>0</x:v>
      </x:c>
      <x:c r="D9" s="37" t="n">
        <x:v>0</x:v>
      </x:c>
      <x:c r="E9" s="37" t="n">
        <x:v>0</x:v>
      </x:c>
    </x:row>
    <x:row r="10">
      <x:c r="A10" s="36" t="str">
        <x:v>Revenue</x:v>
      </x:c>
      <x:c r="B10" s="36" t="str">
        <x:v>Retreat / event fees</x:v>
      </x:c>
      <x:c r="C10" s="37" t="n">
        <x:v>0</x:v>
      </x:c>
      <x:c r="D10" s="37" t="n">
        <x:v>0</x:v>
      </x:c>
      <x:c r="E10" s="37" t="n">
        <x:v>0</x:v>
      </x:c>
    </x:row>
    <x:row r="11">
      <x:c r="A11" s="36" t="str">
        <x:v>Revenue</x:v>
      </x:c>
      <x:c r="B11" s="36" t="str">
        <x:v>Investment income</x:v>
      </x:c>
      <x:c r="C11" s="37" t="n">
        <x:v>0</x:v>
      </x:c>
      <x:c r="D11" s="37" t="n">
        <x:v>0</x:v>
      </x:c>
      <x:c r="E11" s="37" t="n">
        <x:v>0</x:v>
      </x:c>
    </x:row>
    <x:row r="12">
      <x:c r="A12" s="36" t="str">
        <x:v>Revenue</x:v>
      </x:c>
      <x:c r="B12" s="36" t="str">
        <x:v>Unrelated business income</x:v>
      </x:c>
      <x:c r="C12" s="37" t="n">
        <x:v>0</x:v>
      </x:c>
      <x:c r="D12" s="37" t="n">
        <x:v>0</x:v>
      </x:c>
      <x:c r="E12" s="37" t="n">
        <x:v>0</x:v>
      </x:c>
    </x:row>
    <x:row r="13">
      <x:c r="A13" s="36" t="str">
        <x:v>Revenue</x:v>
      </x:c>
      <x:c r="B13" s="36" t="str">
        <x:v>Other revenue</x:v>
      </x:c>
      <x:c r="C13" s="37" t="n">
        <x:v>0</x:v>
      </x:c>
      <x:c r="D13" s="37" t="n">
        <x:v>0</x:v>
      </x:c>
      <x:c r="E13" s="37" t="n">
        <x:v>0</x:v>
      </x:c>
    </x:row>
    <x:row r="14">
      <x:c r="A14" s="36" t="str">
        <x:v>Expense</x:v>
      </x:c>
      <x:c r="B14" s="36" t="str">
        <x:v>Founder / Executive Director salary</x:v>
      </x:c>
      <x:c r="C14" s="37" t="n">
        <x:v>0</x:v>
      </x:c>
      <x:c r="D14" s="37" t="n">
        <x:v>0</x:v>
      </x:c>
      <x:c r="E14" s="37" t="n">
        <x:v>0</x:v>
      </x:c>
    </x:row>
    <x:row r="15">
      <x:c r="A15" s="36" t="str">
        <x:v>Expense</x:v>
      </x:c>
      <x:c r="B15" s="36" t="str">
        <x:v>Payroll taxes and employee benefits</x:v>
      </x:c>
      <x:c r="C15" s="37" t="n">
        <x:v>0</x:v>
      </x:c>
      <x:c r="D15" s="37" t="n">
        <x:v>0</x:v>
      </x:c>
      <x:c r="E15" s="37" t="n">
        <x:v>0</x:v>
      </x:c>
    </x:row>
    <x:row r="16">
      <x:c r="A16" s="36" t="str">
        <x:v>Expense</x:v>
      </x:c>
      <x:c r="B16" s="36" t="str">
        <x:v>Other staff compensation</x:v>
      </x:c>
      <x:c r="C16" s="37" t="n">
        <x:v>0</x:v>
      </x:c>
      <x:c r="D16" s="37" t="n">
        <x:v>0</x:v>
      </x:c>
      <x:c r="E16" s="37" t="n">
        <x:v>0</x:v>
      </x:c>
    </x:row>
    <x:row r="17">
      <x:c r="A17" s="36" t="str">
        <x:v>Expense</x:v>
      </x:c>
      <x:c r="B17" s="36" t="str">
        <x:v>Independent contractors</x:v>
      </x:c>
      <x:c r="C17" s="37" t="n">
        <x:v>0</x:v>
      </x:c>
      <x:c r="D17" s="37" t="n">
        <x:v>0</x:v>
      </x:c>
      <x:c r="E17" s="37" t="n">
        <x:v>0</x:v>
      </x:c>
    </x:row>
    <x:row r="18">
      <x:c r="A18" s="36" t="str">
        <x:v>Expense</x:v>
      </x:c>
      <x:c r="B18" s="36" t="str">
        <x:v>Legal, accounting, and professional fees</x:v>
      </x:c>
      <x:c r="C18" s="37" t="n">
        <x:v>0</x:v>
      </x:c>
      <x:c r="D18" s="37" t="n">
        <x:v>0</x:v>
      </x:c>
      <x:c r="E18" s="37" t="n">
        <x:v>0</x:v>
      </x:c>
    </x:row>
    <x:row r="19">
      <x:c r="A19" s="36" t="str">
        <x:v>Expense</x:v>
      </x:c>
      <x:c r="B19" s="36" t="str">
        <x:v>Occupancy / rent / utilities</x:v>
      </x:c>
      <x:c r="C19" s="37" t="n">
        <x:v>0</x:v>
      </x:c>
      <x:c r="D19" s="37" t="n">
        <x:v>0</x:v>
      </x:c>
      <x:c r="E19" s="37" t="n">
        <x:v>0</x:v>
      </x:c>
    </x:row>
    <x:row r="20">
      <x:c r="A20" s="36" t="str">
        <x:v>Expense</x:v>
      </x:c>
      <x:c r="B20" s="36" t="str">
        <x:v>Insurance</x:v>
      </x:c>
      <x:c r="C20" s="37" t="n">
        <x:v>0</x:v>
      </x:c>
      <x:c r="D20" s="37" t="n">
        <x:v>0</x:v>
      </x:c>
      <x:c r="E20" s="37" t="n">
        <x:v>0</x:v>
      </x:c>
    </x:row>
    <x:row r="21">
      <x:c r="A21" s="36" t="str">
        <x:v>Expense</x:v>
      </x:c>
      <x:c r="B21" s="36" t="str">
        <x:v>Technology / software / communications</x:v>
      </x:c>
      <x:c r="C21" s="37" t="n">
        <x:v>0</x:v>
      </x:c>
      <x:c r="D21" s="37" t="n">
        <x:v>0</x:v>
      </x:c>
      <x:c r="E21" s="37" t="n">
        <x:v>0</x:v>
      </x:c>
    </x:row>
    <x:row r="22">
      <x:c r="A22" s="36" t="str">
        <x:v>Expense</x:v>
      </x:c>
      <x:c r="B22" s="36" t="str">
        <x:v>Research and publication</x:v>
      </x:c>
      <x:c r="C22" s="37" t="n">
        <x:v>0</x:v>
      </x:c>
      <x:c r="D22" s="37" t="n">
        <x:v>0</x:v>
      </x:c>
      <x:c r="E22" s="37" t="n">
        <x:v>0</x:v>
      </x:c>
    </x:row>
    <x:row r="23">
      <x:c r="A23" s="36" t="str">
        <x:v>Expense</x:v>
      </x:c>
      <x:c r="B23" s="36" t="str">
        <x:v>Worship / gathering program costs</x:v>
      </x:c>
      <x:c r="C23" s="37" t="n">
        <x:v>0</x:v>
      </x:c>
      <x:c r="D23" s="37" t="n">
        <x:v>0</x:v>
      </x:c>
      <x:c r="E23" s="37" t="n">
        <x:v>0</x:v>
      </x:c>
    </x:row>
    <x:row r="24">
      <x:c r="A24" s="36" t="str">
        <x:v>Expense</x:v>
      </x:c>
      <x:c r="B24" s="36" t="str">
        <x:v>Religious education program costs</x:v>
      </x:c>
      <x:c r="C24" s="37" t="n">
        <x:v>0</x:v>
      </x:c>
      <x:c r="D24" s="37" t="n">
        <x:v>0</x:v>
      </x:c>
      <x:c r="E24" s="37" t="n">
        <x:v>0</x:v>
      </x:c>
    </x:row>
    <x:row r="25">
      <x:c r="A25" s="36" t="str">
        <x:v>Expense</x:v>
      </x:c>
      <x:c r="B25" s="36" t="str">
        <x:v>Pastoral care program costs</x:v>
      </x:c>
      <x:c r="C25" s="37" t="n">
        <x:v>0</x:v>
      </x:c>
      <x:c r="D25" s="37" t="n">
        <x:v>0</x:v>
      </x:c>
      <x:c r="E25" s="37" t="n">
        <x:v>0</x:v>
      </x:c>
    </x:row>
    <x:row r="26">
      <x:c r="A26" s="36" t="str">
        <x:v>Expense</x:v>
      </x:c>
      <x:c r="B26" s="36" t="str">
        <x:v>Charitable assistance / grants</x:v>
      </x:c>
      <x:c r="C26" s="37" t="n">
        <x:v>0</x:v>
      </x:c>
      <x:c r="D26" s="37" t="n">
        <x:v>0</x:v>
      </x:c>
      <x:c r="E26" s="37" t="n">
        <x:v>0</x:v>
      </x:c>
    </x:row>
    <x:row r="27">
      <x:c r="A27" s="36" t="str">
        <x:v>Expense</x:v>
      </x:c>
      <x:c r="B27" s="36" t="str">
        <x:v>Retreat / community formation costs</x:v>
      </x:c>
      <x:c r="C27" s="37" t="n">
        <x:v>0</x:v>
      </x:c>
      <x:c r="D27" s="37" t="n">
        <x:v>0</x:v>
      </x:c>
      <x:c r="E27" s="37" t="n">
        <x:v>0</x:v>
      </x:c>
    </x:row>
    <x:row r="28">
      <x:c r="A28" s="36" t="str">
        <x:v>Expense</x:v>
      </x:c>
      <x:c r="B28" s="36" t="str">
        <x:v>Safeguarding / screening / training</x:v>
      </x:c>
      <x:c r="C28" s="37" t="n">
        <x:v>0</x:v>
      </x:c>
      <x:c r="D28" s="37" t="n">
        <x:v>0</x:v>
      </x:c>
      <x:c r="E28" s="37" t="n">
        <x:v>0</x:v>
      </x:c>
    </x:row>
    <x:row r="29">
      <x:c r="A29" s="36" t="str">
        <x:v>Expense</x:v>
      </x:c>
      <x:c r="B29" s="36" t="str">
        <x:v>Fundraising costs</x:v>
      </x:c>
      <x:c r="C29" s="37" t="n">
        <x:v>0</x:v>
      </x:c>
      <x:c r="D29" s="37" t="n">
        <x:v>0</x:v>
      </x:c>
      <x:c r="E29" s="37" t="n">
        <x:v>0</x:v>
      </x:c>
    </x:row>
    <x:row r="30">
      <x:c r="A30" s="36" t="str">
        <x:v>Expense</x:v>
      </x:c>
      <x:c r="B30" s="36" t="str">
        <x:v>Board / governance / compliance</x:v>
      </x:c>
      <x:c r="C30" s="37" t="n">
        <x:v>0</x:v>
      </x:c>
      <x:c r="D30" s="37" t="n">
        <x:v>0</x:v>
      </x:c>
      <x:c r="E30" s="37" t="n">
        <x:v>0</x:v>
      </x:c>
    </x:row>
    <x:row r="31">
      <x:c r="A31" s="36" t="str">
        <x:v>Expense</x:v>
      </x:c>
      <x:c r="B31" s="36" t="str">
        <x:v>Travel / transportation</x:v>
      </x:c>
      <x:c r="C31" s="37" t="n">
        <x:v>0</x:v>
      </x:c>
      <x:c r="D31" s="37" t="n">
        <x:v>0</x:v>
      </x:c>
      <x:c r="E31" s="37" t="n">
        <x:v>0</x:v>
      </x:c>
    </x:row>
    <x:row r="32">
      <x:c r="A32" s="36" t="str">
        <x:v>Expense</x:v>
      </x:c>
      <x:c r="B32" s="36" t="str">
        <x:v>Equipment / furnishings</x:v>
      </x:c>
      <x:c r="C32" s="37" t="n">
        <x:v>0</x:v>
      </x:c>
      <x:c r="D32" s="37" t="n">
        <x:v>0</x:v>
      </x:c>
      <x:c r="E32" s="37" t="n">
        <x:v>0</x:v>
      </x:c>
    </x:row>
    <x:row r="33">
      <x:c r="A33" s="36" t="str">
        <x:v>Expense</x:v>
      </x:c>
      <x:c r="B33" s="36" t="str">
        <x:v>Other operating expenses</x:v>
      </x:c>
      <x:c r="C33" s="37" t="n">
        <x:v>0</x:v>
      </x:c>
      <x:c r="D33" s="37" t="n">
        <x:v>0</x:v>
      </x:c>
      <x:c r="E33" s="37" t="n">
        <x:v>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dff72530c8145f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7" hidden="0" customWidth="1"/>
    <x:col min="4" max="4" width="18" hidden="0" customWidth="1"/>
    <x:col min="5" max="5" width="22" hidden="0" customWidth="1"/>
  </x:cols>
  <x:sheetData>
    <x:row r="1">
      <x:c r="A1" s="4" t="str">
        <x:v>Program &amp; Activity Allocation</x:v>
      </x:c>
      <x:c r="B1" s="4"/>
      <x:c r="C1" s="4"/>
      <x:c r="D1" s="4"/>
      <x:c r="E1" s="4"/>
    </x:row>
    <x:row r="3">
      <x:c r="A3" s="24" t="str">
        <x:v>Activity</x:v>
      </x:c>
      <x:c r="B3" s="24" t="str">
        <x:v>Draft Time %</x:v>
      </x:c>
      <x:c r="C3" s="24" t="str">
        <x:v>Draft Expense %</x:v>
      </x:c>
      <x:c r="D3" s="24" t="str">
        <x:v>Launch Phase</x:v>
      </x:c>
      <x:c r="E3" s="24" t="str">
        <x:v>Filing Status</x:v>
      </x:c>
    </x:row>
    <x:row r="4">
      <x:c r="A4" s="36" t="str">
        <x:v>Regular religious gatherings / worship</x:v>
      </x:c>
      <x:c r="B4" s="42" t="n">
        <x:v>20</x:v>
      </x:c>
      <x:c r="C4" s="42" t="n">
        <x:v>15</x:v>
      </x:c>
      <x:c r="D4" s="36" t="str">
        <x:v>Phase I</x:v>
      </x:c>
      <x:c r="E4" s="36" t="str">
        <x:v>Draft</x:v>
      </x:c>
    </x:row>
    <x:row r="5">
      <x:c r="A5" s="36" t="str">
        <x:v>Religious study and education</x:v>
      </x:c>
      <x:c r="B5" s="42" t="n">
        <x:v>15</x:v>
      </x:c>
      <x:c r="C5" s="42" t="n">
        <x:v>15</x:v>
      </x:c>
      <x:c r="D5" s="36" t="str">
        <x:v>Phase I</x:v>
      </x:c>
      <x:c r="E5" s="36" t="str">
        <x:v>Draft</x:v>
      </x:c>
    </x:row>
    <x:row r="6">
      <x:c r="A6" s="36" t="str">
        <x:v>Historical / religious research</x:v>
      </x:c>
      <x:c r="B6" s="42" t="n">
        <x:v>20</x:v>
      </x:c>
      <x:c r="C6" s="42" t="n">
        <x:v>20</x:v>
      </x:c>
      <x:c r="D6" s="36" t="str">
        <x:v>Phase I</x:v>
      </x:c>
      <x:c r="E6" s="36" t="str">
        <x:v>Draft</x:v>
      </x:c>
    </x:row>
    <x:row r="7">
      <x:c r="A7" s="36" t="str">
        <x:v>Publication and digital services</x:v>
      </x:c>
      <x:c r="B7" s="42" t="n">
        <x:v>10</x:v>
      </x:c>
      <x:c r="C7" s="42" t="n">
        <x:v>10</x:v>
      </x:c>
      <x:c r="D7" s="36" t="str">
        <x:v>Phase I</x:v>
      </x:c>
      <x:c r="E7" s="36" t="str">
        <x:v>Draft</x:v>
      </x:c>
    </x:row>
    <x:row r="8">
      <x:c r="A8" s="36" t="str">
        <x:v>Pastoral and spiritual care</x:v>
      </x:c>
      <x:c r="B8" s="42" t="n">
        <x:v>10</x:v>
      </x:c>
      <x:c r="C8" s="42" t="n">
        <x:v>10</x:v>
      </x:c>
      <x:c r="D8" s="36" t="str">
        <x:v>Phase II</x:v>
      </x:c>
      <x:c r="E8" s="36" t="str">
        <x:v>Draft</x:v>
      </x:c>
    </x:row>
    <x:row r="9">
      <x:c r="A9" s="36" t="str">
        <x:v>Charitable assistance</x:v>
      </x:c>
      <x:c r="B9" s="42" t="n">
        <x:v>10</x:v>
      </x:c>
      <x:c r="C9" s="42" t="n">
        <x:v>15</x:v>
      </x:c>
      <x:c r="D9" s="36" t="str">
        <x:v>Phase II</x:v>
      </x:c>
      <x:c r="E9" s="36" t="str">
        <x:v>Draft</x:v>
      </x:c>
    </x:row>
    <x:row r="10">
      <x:c r="A10" s="36" t="str">
        <x:v>Retreats and community formation</x:v>
      </x:c>
      <x:c r="B10" s="42" t="n">
        <x:v>5</x:v>
      </x:c>
      <x:c r="C10" s="42" t="n">
        <x:v>5</x:v>
      </x:c>
      <x:c r="D10" s="36" t="str">
        <x:v>Phase II</x:v>
      </x:c>
      <x:c r="E10" s="36" t="str">
        <x:v>Draft</x:v>
      </x:c>
    </x:row>
    <x:row r="11">
      <x:c r="A11" s="36" t="str">
        <x:v>Clergy / ordination formation</x:v>
      </x:c>
      <x:c r="B11" s="42" t="n">
        <x:v>5</x:v>
      </x:c>
      <x:c r="C11" s="42" t="n">
        <x:v>5</x:v>
      </x:c>
      <x:c r="D11" s="36" t="str">
        <x:v>Phase II–III</x:v>
      </x:c>
      <x:c r="E11" s="36" t="str">
        <x:v>Draft</x:v>
      </x:c>
    </x:row>
    <x:row r="12">
      <x:c r="A12" s="36" t="str">
        <x:v>Children's programs</x:v>
      </x:c>
      <x:c r="B12" s="42" t="n">
        <x:v>5</x:v>
      </x:c>
      <x:c r="C12" s="42" t="n">
        <x:v>5</x:v>
      </x:c>
      <x:c r="D12" s="36" t="str">
        <x:v>Phase III</x:v>
      </x:c>
      <x:c r="E12" s="36" t="str">
        <x:v>Hold until concrete</x:v>
      </x:c>
    </x:row>
    <x:row r="13">
      <x:c r="A13" s="36" t="str">
        <x:v>Intentional community / property / housing</x:v>
      </x:c>
      <x:c r="B13" s="42" t="n">
        <x:v>0</x:v>
      </x:c>
      <x:c r="C13" s="42" t="n">
        <x:v>0</x:v>
      </x:c>
      <x:c r="D13" s="36" t="str">
        <x:v>Phase IV</x:v>
      </x:c>
      <x:c r="E13" s="36" t="str">
        <x:v>Development only</x:v>
      </x:c>
    </x:row>
    <x:row r="14">
      <x:c r="A14" s="36"/>
      <x:c r="B14" s="36"/>
      <x:c r="C14" s="36"/>
      <x:c r="D14" s="36"/>
      <x:c r="E14" s="36"/>
    </x:row>
    <x:row r="15">
      <x:c r="A15" s="43" t="str">
        <x:v>Total</x:v>
      </x:c>
      <x:c r="B15" s="43" t="n">
        <x:f>SUM(B4:B13)</x:f>
        <x:v>100</x:v>
      </x:c>
      <x:c r="C15" s="43" t="n">
        <x:f>SUM(C4:C13)</x:f>
        <x:v>100</x:v>
      </x:c>
      <x:c r="D15" s="36"/>
      <x:c r="E15" s="36"/>
    </x:row>
    <x:row r="16">
      <x:c r="A16" s="36" t="str">
        <x:v>Readiness check</x:v>
      </x:c>
      <x:c r="B16" s="36" t="str">
        <x:f>IF(B15=100,"PASS","EDIT: time must total 100%")</x:f>
        <x:v>PASS</x:v>
      </x:c>
      <x:c r="C16" s="36" t="str">
        <x:f>IF(C15=100,"PASS","EDIT: expense must total 100%")</x:f>
        <x:v>PASS</x:v>
      </x:c>
      <x:c r="D16" s="36"/>
      <x:c r="E16" s="36"/>
    </x:row>
  </x:sheetData>
  <x:mergeCells>
    <x:mergeCell ref="A1:E1"/>
  </x:mergeCells>
  <x:conditionalFormatting sqref="B16:C16">
    <x:cfRule type="expression" dxfId="0" priority="1">
      <x:formula>B16&lt;&gt;"PASS"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</x:cols>
  <x:sheetData>
    <x:row r="1">
      <x:c r="A1" s="4" t="str">
        <x:v>Form 1023 Financial Data Summary</x:v>
      </x:c>
      <x:c r="B1" s="4"/>
      <x:c r="C1" s="4"/>
      <x:c r="D1" s="4"/>
      <x:c r="E1" s="4"/>
    </x:row>
    <x:row r="3">
      <x:c r="A3" s="24" t="str">
        <x:v>Item</x:v>
      </x:c>
      <x:c r="B3" s="24" t="str">
        <x:v>Year 1</x:v>
      </x:c>
      <x:c r="C3" s="24" t="str">
        <x:v>Year 2</x:v>
      </x:c>
      <x:c r="D3" s="24" t="str">
        <x:v>Year 3</x:v>
      </x:c>
      <x:c r="E3" s="24" t="str">
        <x:v>Three-Year Total</x:v>
      </x:c>
    </x:row>
    <x:row r="4">
      <x:c r="A4" t="str">
        <x:v>Total revenue</x:v>
      </x:c>
      <x:c r="B4" s="46" t="n">
        <x:f>SUM(Assumptions!C4:C13)</x:f>
        <x:v>0</x:v>
      </x:c>
      <x:c r="C4" s="46" t="n">
        <x:f>SUM(Assumptions!D4:D13)</x:f>
        <x:v>0</x:v>
      </x:c>
      <x:c r="D4" s="46" t="n">
        <x:f>SUM(Assumptions!E4:E13)</x:f>
        <x:v>0</x:v>
      </x:c>
      <x:c r="E4" s="46" t="n">
        <x:f>SUM(B4:D4)</x:f>
        <x:v>0</x:v>
      </x:c>
    </x:row>
    <x:row r="5">
      <x:c r="A5" t="str">
        <x:v>Total expenses</x:v>
      </x:c>
      <x:c r="B5" s="46" t="n">
        <x:f>SUM(Assumptions!C14:C33)</x:f>
        <x:v>0</x:v>
      </x:c>
      <x:c r="C5" s="46" t="n">
        <x:f>SUM(Assumptions!D14:D33)</x:f>
        <x:v>0</x:v>
      </x:c>
      <x:c r="D5" s="46" t="n">
        <x:f>SUM(Assumptions!E14:E33)</x:f>
        <x:v>0</x:v>
      </x:c>
      <x:c r="E5" s="46" t="n">
        <x:f>SUM(B5:D5)</x:f>
        <x:v>0</x:v>
      </x:c>
    </x:row>
    <x:row r="6">
      <x:c r="A6" t="str">
        <x:v>Projected surplus / (deficit)</x:v>
      </x:c>
      <x:c r="B6" s="46" t="n">
        <x:f>B4-B5</x:f>
        <x:v>0</x:v>
      </x:c>
      <x:c r="C6" s="46" t="n">
        <x:f>C4-C5</x:f>
        <x:v>0</x:v>
      </x:c>
      <x:c r="D6" s="46" t="n">
        <x:f>D4-D5</x:f>
        <x:v>0</x:v>
      </x:c>
      <x:c r="E6" s="46" t="n">
        <x:f>SUM(B6:D6)</x:f>
        <x:v>0</x:v>
      </x:c>
    </x:row>
    <x:row r="8">
      <x:c r="A8" s="24" t="str">
        <x:v>Readiness check</x:v>
      </x:c>
      <x:c r="B8" s="24" t="str">
        <x:v>Year 1</x:v>
      </x:c>
      <x:c r="C8" s="24" t="str">
        <x:v>Year 2</x:v>
      </x:c>
      <x:c r="D8" s="24" t="str">
        <x:v>Year 3</x:v>
      </x:c>
      <x:c r="E8" s="24" t="str"/>
    </x:row>
    <x:row r="9">
      <x:c r="A9" t="str">
        <x:v>Revenue entered</x:v>
      </x:c>
      <x:c r="B9" t="str">
        <x:f>IF(B4&gt;0,"PASS","ENTER REVENUE")</x:f>
        <x:v>ENTER REVENUE</x:v>
      </x:c>
      <x:c r="C9" t="str">
        <x:f>IF(C4&gt;0,"PASS","ENTER REVENUE")</x:f>
        <x:v>ENTER REVENUE</x:v>
      </x:c>
      <x:c r="D9" t="str">
        <x:f>IF(D4&gt;0,"PASS","ENTER REVENUE")</x:f>
        <x:v>ENTER REVENUE</x:v>
      </x:c>
    </x:row>
    <x:row r="10">
      <x:c r="A10" t="str">
        <x:v>Expenses entered</x:v>
      </x:c>
      <x:c r="B10" t="str">
        <x:f>IF(B5&gt;0,"PASS","ENTER EXPENSES")</x:f>
        <x:v>ENTER EXPENSES</x:v>
      </x:c>
      <x:c r="C10" t="str">
        <x:f>IF(C5&gt;0,"PASS","ENTER EXPENSES")</x:f>
        <x:v>ENTER EXPENSES</x:v>
      </x:c>
      <x:c r="D10" t="str">
        <x:f>IF(D5&gt;0,"PASS","ENTER EXPENSES")</x:f>
        <x:v>ENTER EXPENSES</x:v>
      </x:c>
    </x:row>
    <x:row r="11">
      <x:c r="A11" t="str">
        <x:v>Program allocation</x:v>
      </x:c>
      <x:c r="B11" t="str">
        <x:f>IF('Program Allocation'!B15=100,"PASS","EDIT")</x:f>
        <x:v>PASS</x:v>
      </x:c>
      <x:c r="C11" t="str">
        <x:f>IF('Program Allocation'!C15=100,"PASS","EDIT")</x:f>
        <x:v>PASS</x:v>
      </x:c>
      <x:c r="D11" t="str">
        <x:v>See Program Allocation</x:v>
      </x:c>
    </x:row>
    <x:row r="13">
      <x:c r="A13" s="10" t="str">
        <x:v>Important</x:v>
      </x:c>
      <x:c r="B13" s="10" t="str"/>
      <x:c r="C13" s="10" t="str"/>
      <x:c r="D13" s="10" t="str"/>
      <x:c r="E13" s="10" t="str"/>
    </x:row>
    <x:row r="14" ht="40" customHeight="1">
      <x:c r="A14" s="16" t="str">
        <x:v>The IRS expects good-faith projections that are consistent with the organization's planned activities. Zeroes here mean the financial narrative is not filing-ready.</x:v>
      </x:c>
      <x:c r="B14" s="16" t="str"/>
      <x:c r="C14" s="16" t="str"/>
      <x:c r="D14" s="16" t="str"/>
      <x:c r="E14" s="16" t="str"/>
    </x:row>
    <x:row r="15" ht="40" customHeight="1">
      <x:c r="A15" s="16" t="str">
        <x:v>Founder compensation should remain zero until there is independent prospective board approval and financial capacity; later projected compensation may be entered once supported by comparability data and board planning.</x:v>
      </x:c>
      <x:c r="B15" s="16" t="str"/>
      <x:c r="C15" s="16" t="str"/>
      <x:c r="D15" s="16" t="str"/>
      <x:c r="E15" s="16" t="str"/>
    </x:row>
  </x:sheetData>
  <x:mergeCells>
    <x:mergeCell ref="A1:E1"/>
    <x:mergeCell ref="A13:E13"/>
    <x:mergeCell ref="A14:E14"/>
    <x:mergeCell ref="A15:E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</x:cols>
  <x:sheetData>
    <x:row r="1">
      <x:c r="A1" s="4" t="str">
        <x:v>Public-Support Planning Indicator</x:v>
      </x:c>
      <x:c r="B1" s="4"/>
      <x:c r="C1" s="4"/>
      <x:c r="D1" s="4"/>
      <x:c r="E1" s="4"/>
    </x:row>
    <x:row r="3">
      <x:c r="A3" s="24" t="str">
        <x:v>Support category</x:v>
      </x:c>
      <x:c r="B3" s="24" t="str">
        <x:v>Year 1</x:v>
      </x:c>
      <x:c r="C3" s="24" t="str">
        <x:v>Year 2</x:v>
      </x:c>
      <x:c r="D3" s="24" t="str">
        <x:v>Year 3</x:v>
      </x:c>
      <x:c r="E3" s="24" t="str">
        <x:v>3-Year Total</x:v>
      </x:c>
    </x:row>
    <x:row r="4">
      <x:c r="A4" t="str">
        <x:v>Individuals: unrestricted + restricted</x:v>
      </x:c>
      <x:c r="B4" s="46" t="n">
        <x:f>Assumptions!C4+Assumptions!C5</x:f>
        <x:v>0</x:v>
      </x:c>
      <x:c r="C4" s="46" t="n">
        <x:f>Assumptions!D4+Assumptions!D5</x:f>
        <x:v>0</x:v>
      </x:c>
      <x:c r="D4" s="46" t="n">
        <x:f>Assumptions!E4+Assumptions!E5</x:f>
        <x:v>0</x:v>
      </x:c>
      <x:c r="E4" s="46" t="n">
        <x:f>SUM(B4:D4)</x:f>
        <x:v>0</x:v>
      </x:c>
    </x:row>
    <x:row r="5">
      <x:c r="A5" t="str">
        <x:v>Public charity / foundation grants</x:v>
      </x:c>
      <x:c r="B5" s="46" t="n">
        <x:f>Assumptions!C6</x:f>
        <x:v>0</x:v>
      </x:c>
      <x:c r="C5" s="46" t="n">
        <x:f>Assumptions!D6</x:f>
        <x:v>0</x:v>
      </x:c>
      <x:c r="D5" s="46" t="n">
        <x:f>Assumptions!E6</x:f>
        <x:v>0</x:v>
      </x:c>
      <x:c r="E5" s="46" t="n">
        <x:f>SUM(B5:D5)</x:f>
        <x:v>0</x:v>
      </x:c>
    </x:row>
    <x:row r="6">
      <x:c r="A6" t="str">
        <x:v>Government grants</x:v>
      </x:c>
      <x:c r="B6" s="46" t="n">
        <x:f>Assumptions!C7</x:f>
        <x:v>0</x:v>
      </x:c>
      <x:c r="C6" s="46" t="n">
        <x:f>Assumptions!D7</x:f>
        <x:v>0</x:v>
      </x:c>
      <x:c r="D6" s="46" t="n">
        <x:f>Assumptions!E7</x:f>
        <x:v>0</x:v>
      </x:c>
      <x:c r="E6" s="46" t="n">
        <x:f>SUM(B6:D6)</x:f>
        <x:v>0</x:v>
      </x:c>
    </x:row>
    <x:row r="7">
      <x:c r="A7" t="str">
        <x:v>Program / educational fees</x:v>
      </x:c>
      <x:c r="B7" s="46" t="n">
        <x:f>Assumptions!C8</x:f>
        <x:v>0</x:v>
      </x:c>
      <x:c r="C7" s="46" t="n">
        <x:f>Assumptions!D8</x:f>
        <x:v>0</x:v>
      </x:c>
      <x:c r="D7" s="46" t="n">
        <x:f>Assumptions!E8</x:f>
        <x:v>0</x:v>
      </x:c>
      <x:c r="E7" s="46" t="n">
        <x:f>SUM(B7:D7)</x:f>
        <x:v>0</x:v>
      </x:c>
    </x:row>
    <x:row r="8">
      <x:c r="A8" t="str">
        <x:v>Publication / material sales</x:v>
      </x:c>
      <x:c r="B8" s="46" t="n">
        <x:f>Assumptions!C9</x:f>
        <x:v>0</x:v>
      </x:c>
      <x:c r="C8" s="46" t="n">
        <x:f>Assumptions!D9</x:f>
        <x:v>0</x:v>
      </x:c>
      <x:c r="D8" s="46" t="n">
        <x:f>Assumptions!E9</x:f>
        <x:v>0</x:v>
      </x:c>
      <x:c r="E8" s="46" t="n">
        <x:f>SUM(B8:D8)</x:f>
        <x:v>0</x:v>
      </x:c>
    </x:row>
    <x:row r="9">
      <x:c r="A9" t="str">
        <x:v>Retreat / event fees</x:v>
      </x:c>
      <x:c r="B9" s="46" t="n">
        <x:f>Assumptions!C10</x:f>
        <x:v>0</x:v>
      </x:c>
      <x:c r="C9" s="46" t="n">
        <x:f>Assumptions!D10</x:f>
        <x:v>0</x:v>
      </x:c>
      <x:c r="D9" s="46" t="n">
        <x:f>Assumptions!E10</x:f>
        <x:v>0</x:v>
      </x:c>
      <x:c r="E9" s="46" t="n">
        <x:f>SUM(B9:D9)</x:f>
        <x:v>0</x:v>
      </x:c>
    </x:row>
    <x:row r="10">
      <x:c r="A10" t="str">
        <x:v>Investment + unrelated + other</x:v>
      </x:c>
      <x:c r="B10" s="46" t="n">
        <x:f>SUM(Assumptions!C11:C13)</x:f>
        <x:v>0</x:v>
      </x:c>
      <x:c r="C10" s="46" t="n">
        <x:f>SUM(Assumptions!D11:D13)</x:f>
        <x:v>0</x:v>
      </x:c>
      <x:c r="D10" s="46" t="n">
        <x:f>SUM(Assumptions!E11:E13)</x:f>
        <x:v>0</x:v>
      </x:c>
      <x:c r="E10" s="46" t="n">
        <x:f>SUM(B10:D10)</x:f>
        <x:v>0</x:v>
      </x:c>
    </x:row>
    <x:row r="12">
      <x:c r="A12" s="24" t="str">
        <x:v>Planning metric</x:v>
      </x:c>
      <x:c r="B12" s="24" t="str">
        <x:v>Year 1</x:v>
      </x:c>
      <x:c r="C12" s="24" t="str">
        <x:v>Year 2</x:v>
      </x:c>
      <x:c r="D12" s="24" t="str">
        <x:v>Year 3</x:v>
      </x:c>
      <x:c r="E12" s="24" t="str">
        <x:v>3-Year</x:v>
      </x:c>
    </x:row>
    <x:row r="13">
      <x:c r="A13" t="str">
        <x:v>Contributions / grants as % of total revenue</x:v>
      </x:c>
      <x:c r="B13" s="48" t="n">
        <x:f>IFERROR(SUM(B4:B6)/'Form 1023 Summary'!B4,0)</x:f>
        <x:v>0</x:v>
      </x:c>
      <x:c r="C13" s="48" t="n">
        <x:f>IFERROR(SUM(C4:C6)/'Form 1023 Summary'!C4,0)</x:f>
        <x:v>0</x:v>
      </x:c>
      <x:c r="D13" s="48" t="n">
        <x:f>IFERROR(SUM(D4:D6)/'Form 1023 Summary'!D4,0)</x:f>
        <x:v>0</x:v>
      </x:c>
      <x:c r="E13" s="48" t="n">
        <x:f>IFERROR(SUM(E4:E6)/'Form 1023 Summary'!E4,0)</x:f>
        <x:v>0</x:v>
      </x:c>
    </x:row>
    <x:row r="15">
      <x:c r="A15" s="16" t="str">
        <x:v>Planning note: this ratio is intentionally simplified. The §170(b)(1)(A)(vi) public-support test has detailed inclusion, exclusion, large-contributor, gross-receipts, and facts-and-circumstances rules. Use this sheet to notice dependence on a few funding types, not to make a legal classification conclusion.</x:v>
      </x:c>
      <x:c r="B15" s="16"/>
      <x:c r="C15" s="16"/>
      <x:c r="D15" s="16"/>
      <x:c r="E15" s="16"/>
    </x:row>
    <x:row r="16">
      <x:c r="A16" s="16"/>
      <x:c r="B16" s="16"/>
      <x:c r="C16" s="16"/>
      <x:c r="D16" s="16"/>
      <x:c r="E16" s="16"/>
    </x:row>
    <x:row r="17">
      <x:c r="A17" s="16"/>
      <x:c r="B17" s="16"/>
      <x:c r="C17" s="16"/>
      <x:c r="D17" s="16"/>
      <x:c r="E17" s="16"/>
    </x:row>
  </x:sheetData>
  <x:mergeCells>
    <x:mergeCell ref="A1:E1"/>
    <x:mergeCell ref="A15:E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72" hidden="0" customWidth="1"/>
  </x:cols>
  <x:sheetData>
    <x:row r="1">
      <x:c r="A1" s="4" t="str">
        <x:v>Current Source Notes</x:v>
      </x:c>
      <x:c r="B1" s="4"/>
      <x:c r="C1" s="4"/>
      <x:c r="D1" s="4"/>
    </x:row>
    <x:row r="3">
      <x:c r="A3" s="24" t="str">
        <x:v>Topic</x:v>
      </x:c>
      <x:c r="B3" s="24" t="str">
        <x:v>Source</x:v>
      </x:c>
      <x:c r="C3" s="24" t="str">
        <x:v>Checked</x:v>
      </x:c>
      <x:c r="D3" s="24" t="str">
        <x:v>Use</x:v>
      </x:c>
    </x:row>
    <x:row r="4">
      <x:c r="A4" s="36" t="str">
        <x:v>Form 1023 financial projections</x:v>
      </x:c>
      <x:c r="B4" s="36" t="str">
        <x:v>IRS Instructions for Form 1023</x:v>
      </x:c>
      <x:c r="C4" s="36" t="str">
        <x:v>2026-09-19</x:v>
      </x:c>
      <x:c r="D4" s="36" t="str">
        <x:v>New organizations provide current year plus next two years of good-faith projected financial data.</x:v>
      </x:c>
    </x:row>
    <x:row r="5">
      <x:c r="A5" s="36" t="str">
        <x:v>Activity narrative</x:v>
      </x:c>
      <x:c r="B5" s="36" t="str">
        <x:v>IRS Instructions for Form 1023</x:v>
      </x:c>
      <x:c r="C5" s="36" t="str">
        <x:v>2026-09-19</x:v>
      </x:c>
      <x:c r="D5" s="36" t="str">
        <x:v>Describe what, who, where, funding, time allocation, expense allocation, and exempt-purpose relationship.</x:v>
      </x:c>
    </x:row>
    <x:row r="6">
      <x:c r="A6" s="36" t="str">
        <x:v>Public support</x:v>
      </x:c>
      <x:c r="B6" s="36" t="str">
        <x:v>IRS Publication 557 / Form 1023 instructions</x:v>
      </x:c>
      <x:c r="C6" s="36" t="str">
        <x:v>2026-09-19</x:v>
      </x:c>
      <x:c r="D6" s="36" t="str">
        <x:v>§509(a)(1)/§170(b)(1)(A)(vi) qualification depends on statutory public-support tests and facts/circumstances.</x:v>
      </x:c>
    </x:row>
    <x:row r="7">
      <x:c r="A7" s="36" t="str">
        <x:v>Insider compensation</x:v>
      </x:c>
      <x:c r="B7" s="36" t="str">
        <x:v>IRS rebuttable presumption guidance</x:v>
      </x:c>
      <x:c r="C7" s="36" t="str">
        <x:v>2026-09-19</x:v>
      </x:c>
      <x:c r="D7" s="36" t="str">
        <x:v>Use disinterested advance approval, comparability data, and contemporaneous documentation.</x:v>
      </x:c>
    </x:row>
  </x:sheetData>
  <x:mergeCells>
    <x:mergeCell ref="A1:D1"/>
  </x:mergeCells>
  <x:pageMargins left="0.7" right="0.7" top="0.75" bottom="0.75" header="0.3" footer="0.3"/>
</x:worksheet>
</file>