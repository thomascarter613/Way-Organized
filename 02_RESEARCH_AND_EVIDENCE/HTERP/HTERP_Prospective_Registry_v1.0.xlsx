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2d2d95fb3840c0" /></Relationships>
</file>

<file path=xl/workbook.xml><?xml version="1.0" encoding="utf-8"?>
<x:workbook xmlns:x="http://schemas.openxmlformats.org/spreadsheetml/2006/main">
  <x:sheets>
    <x:sheet xmlns:r="http://schemas.openxmlformats.org/officeDocument/2006/relationships" name="Instructions" sheetId="1" r:id="Rc2569cb40ffd490a"/>
    <x:sheet xmlns:r="http://schemas.openxmlformats.org/officeDocument/2006/relationships" name="Lookups" sheetId="2" r:id="R31112b9bba214cf5"/>
    <x:sheet xmlns:r="http://schemas.openxmlformats.org/officeDocument/2006/relationships" name="Registry" sheetId="3" r:id="Recf616ba4d6d45ba"/>
    <x:sheet xmlns:r="http://schemas.openxmlformats.org/officeDocument/2006/relationships" name="Claimants" sheetId="4" r:id="Rd61b23b078454f52"/>
    <x:sheet xmlns:r="http://schemas.openxmlformats.org/officeDocument/2006/relationships" name="Audit Log" sheetId="5" r:id="Rd29f496ce9384ff3"/>
    <x:sheet xmlns:r="http://schemas.openxmlformats.org/officeDocument/2006/relationships" name="Dashboard" sheetId="6" r:id="R56dd7eacc02e4495"/>
    <x:sheet xmlns:r="http://schemas.openxmlformats.org/officeDocument/2006/relationships" name="Scoring Guide" sheetId="7" r:id="Rb1dfffa7230741b7"/>
    <x:sheet xmlns:r="http://schemas.openxmlformats.org/officeDocument/2006/relationships" name="Worked Example" sheetId="8" r:id="Rf3fab2d68dab455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hh:mm"/>
    <x:numFmt numFmtId="201" formatCode="yyyy-mm-dd"/>
    <x:numFmt numFmtId="202" formatCode="0%"/>
    <x:numFmt numFmtId="203" formatCode="0.000"/>
    <x:numFmt numFmtId="204" formatCode="0.0%"/>
    <x:numFmt numFmtId="205" formatCode="0"/>
  </x:numFmts>
  <x:fonts count="7">
    <x:font>
      <x:sz val="11"/>
      <x:name val="Carlito"/>
    </x:font>
    <x:font>
      <x:b/>
      <x:sz val="16"/>
      <x:color rgb="FFFFFFFF"/>
      <x:name val="Carlito"/>
    </x:font>
    <x:font>
      <x:b/>
      <x:sz val="11"/>
      <x:color rgb="FF16324F"/>
      <x:name val="Carlito"/>
    </x:font>
    <x:font>
      <x:sz val="11"/>
      <x:color rgb="FF334155"/>
      <x:name val="Carlito"/>
    </x:font>
    <x:font>
      <x:b/>
      <x:sz val="11"/>
      <x:color rgb="FFFFFFFF"/>
      <x:name val="Carlito"/>
    </x:font>
    <x:font>
      <x:i/>
      <x:sz val="11"/>
      <x:color rgb="FF7A4E00"/>
      <x:name val="Carlito"/>
    </x:font>
    <x:font>
      <x:b/>
      <x:sz val="11"/>
      <x:color rgb="FF334155"/>
      <x:name val="Carlito"/>
    </x:font>
  </x:fonts>
  <x:fills count="7">
    <x:fill>
      <x:patternFill patternType="none"/>
    </x:fill>
    <x:fill>
      <x:patternFill patternType="gray125"/>
    </x:fill>
    <x:fill>
      <x:patternFill patternType="solid">
        <x:fgColor rgb="FF16324F"/>
      </x:patternFill>
    </x:fill>
    <x:fill>
      <x:patternFill patternType="solid">
        <x:fgColor rgb="FFDCE6F1"/>
      </x:patternFill>
    </x:fill>
    <x:fill>
      <x:patternFill patternType="solid">
        <x:fgColor rgb="FFF3F6FA"/>
      </x:patternFill>
    </x:fill>
    <x:fill>
      <x:patternFill patternType="solid">
        <x:fgColor rgb="FF2F5597"/>
      </x:patternFill>
    </x:fill>
    <x:fill>
      <x:patternFill patternType="solid">
        <x:fgColor rgb="FFFFF7E6"/>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204" fontId="0" fillId="0" borderId="0" xfId="0" applyNumberFormat="1" applyFont="1" applyFill="1" applyBorder="1" applyAlignment="1">
      <x:alignment wrapText="1"/>
    </x:xf>
    <x:xf numFmtId="204" fontId="0" fillId="0" borderId="1"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5" fontId="0" fillId="0" borderId="0" xfId="0" applyNumberFormat="1" applyFont="1" applyFill="1" applyBorder="1" applyAlignment="1">
      <x:alignment wrapText="1"/>
    </x:xf>
    <x:xf numFmtId="205"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cellXfs>
  <x:cellStyles count="1">
    <x:cellStyle name="Normal" xfId="0"/>
  </x:cellStyles>
  <x:dxfs count="8">
    <x:dxf>
      <x:font>
        <x:b/>
        <x:color rgb="FF166534"/>
      </x:font>
      <x:fill>
        <x:patternFill patternType="solid">
          <x:bgColor rgb="FFDCFCE7"/>
        </x:patternFill>
      </x:fill>
    </x:dxf>
    <x:dxf>
      <x:font>
        <x:b/>
        <x:color rgb="FF991B1B"/>
      </x:font>
      <x:fill>
        <x:patternFill patternType="solid">
          <x:bgColor rgb="FFFEE2E2"/>
        </x:patternFill>
      </x:fill>
    </x:dxf>
    <x:dxf>
      <x:font>
        <x:color rgb="FF1E40AF"/>
      </x:font>
      <x:fill>
        <x:patternFill patternType="solid">
          <x:bgColor rgb="FFDBEAFE"/>
        </x:patternFill>
      </x:fill>
    </x:dxf>
    <x:dxf>
      <x:font>
        <x:b/>
        <x:color rgb="FF991B1B"/>
      </x:font>
      <x:fill>
        <x:patternFill patternType="solid">
          <x:bgColor rgb="FFFECACA"/>
        </x:patternFill>
      </x:fill>
    </x:dxf>
    <x:dxf>
      <x:font>
        <x:b/>
        <x:color rgb="FF92400E"/>
      </x:font>
      <x:fill>
        <x:patternFill patternType="solid">
          <x:bgColor rgb="FFFEF3C7"/>
        </x:patternFill>
      </x:fill>
    </x:dxf>
    <x:dxf>
      <x:font>
        <x:b/>
        <x:color rgb="FF166534"/>
      </x:font>
    </x:dxf>
    <x:dxf>
      <x:fill>
        <x:patternFill patternType="solid">
          <x:bgColor rgb="FFFECACA"/>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8831c6da7f414d" /><Relationship Type="http://schemas.openxmlformats.org/officeDocument/2006/relationships/theme" Target="/xl/theme/theme1.xml" Id="R8fd6326bdf524c9d" /><Relationship Type="http://schemas.openxmlformats.org/officeDocument/2006/relationships/sharedStrings" Target="/xl/sharedStrings.xml" Id="R37db9c87ee2343de" /><Relationship Type="http://schemas.openxmlformats.org/officeDocument/2006/relationships/worksheet" Target="/xl/worksheets/sheet1.xml" Id="Rc2569cb40ffd490a" /><Relationship Type="http://schemas.openxmlformats.org/officeDocument/2006/relationships/worksheet" Target="/xl/worksheets/sheet2.xml" Id="R31112b9bba214cf5" /><Relationship Type="http://schemas.openxmlformats.org/officeDocument/2006/relationships/worksheet" Target="/xl/worksheets/sheet3.xml" Id="Recf616ba4d6d45ba" /><Relationship Type="http://schemas.openxmlformats.org/officeDocument/2006/relationships/worksheet" Target="/xl/worksheets/sheet4.xml" Id="Rd61b23b078454f52" /><Relationship Type="http://schemas.openxmlformats.org/officeDocument/2006/relationships/worksheet" Target="/xl/worksheets/sheet5.xml" Id="Rd29f496ce9384ff3" /><Relationship Type="http://schemas.openxmlformats.org/officeDocument/2006/relationships/worksheet" Target="/xl/worksheets/sheet6.xml" Id="R56dd7eacc02e4495" /><Relationship Type="http://schemas.openxmlformats.org/officeDocument/2006/relationships/worksheet" Target="/xl/worksheets/sheet7.xml" Id="Rb1dfffa7230741b7" /><Relationship Type="http://schemas.openxmlformats.org/officeDocument/2006/relationships/worksheet" Target="/xl/worksheets/sheet8.xml" Id="Rf3fab2d68dab455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1383b58d894ee7" /><Relationship Type="http://schemas.openxmlformats.org/officeDocument/2006/relationships/chart" Target="/xl/drawings/charts/chart2.xml" Id="R47e9588a39864fb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Registry Status</a:t>
            </a:r>
          </a:p>
        </c:rich>
      </c:tx>
    </c:title>
    <c:plotArea>
      <c:barChart>
        <c:barDir val="col"/>
        <c:varyColors val="0"/>
        <c:ser>
          <c:idx val="0"/>
          <c:order val="0"/>
          <c:tx>
            <c:v>Count</c:v>
          </c:tx>
          <c:cat>
            <c:strRef>
              <c:f>'Dashboard'!$D$4:$D$7</c:f>
              <c:strCache>
                <c:ptCount val="0"/>
              </c:strCache>
            </c:strRef>
          </c:cat>
          <c:val>
            <c:numRef>
              <c:f>'Dashboard'!$E$4:$E$7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Predictions by Target Domain</a:t>
            </a:r>
          </a:p>
        </c:rich>
      </c:tx>
    </c:title>
    <c:plotArea>
      <c:barChart>
        <c:barDir val="col"/>
        <c:varyColors val="0"/>
        <c:ser>
          <c:idx val="0"/>
          <c:order val="0"/>
          <c:tx>
            <c:v>Count</c:v>
          </c:tx>
          <c:cat>
            <c:strRef>
              <c:f>'Dashboard'!$A$20:$A$29</c:f>
              <c:strCache>
                <c:ptCount val="0"/>
              </c:strCache>
            </c:strRef>
          </c:cat>
          <c:val>
            <c:numRef>
              <c:f>'Dashboard'!$B$20:$B$29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1383b58d894ee7"/>
        </a:graphicData>
      </a:graphic>
    </xdr:graphicFrame>
    <xdr:clientData/>
  </xdr:twoCellAnchor>
  <xdr:twoCellAnchor>
    <xdr:from>
      <xdr:col>3</xdr:col>
      <xdr:colOff>0</xdr:colOff>
      <xdr:row>18</xdr:row>
      <xdr:rowOff>0</xdr:rowOff>
    </xdr:from>
    <xdr:to>
      <xdr:col>14</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e9588a39864fb7"/>
        </a:graphicData>
      </a:graphic>
    </xdr:graphicFrame>
    <xdr:clientData/>
  </xdr:twoCellAnchor>
</xdr:wsDr>
</file>

<file path=xl/tables/table1.xml><?xml version="1.0" encoding="utf-8"?>
<x:table xmlns:x="http://schemas.openxmlformats.org/spreadsheetml/2006/main" id="1" name="PredictionsTable" displayName="PredictionsTable" ref="A5:AF205" headerRowCount="1" totalsRowCount="0" totalsRowShown="0">
  <x:tableColumns count="32">
    <x:tableColumn id="1" name="Prediction ID"/>
    <x:tableColumn id="2" name="Version"/>
    <x:tableColumn id="3" name="Original Prediction ID"/>
    <x:tableColumn id="4" name="Claimant ID"/>
    <x:tableColumn id="5" name="Claimant / Display Name"/>
    <x:tableColumn id="6" name="Tradition / Method"/>
    <x:tableColumn id="7" name="Registration Timestamp"/>
    <x:tableColumn id="8" name="Exact Wording"/>
    <x:tableColumn id="9" name="Probability"/>
    <x:tableColumn id="10" name="Target Domain"/>
    <x:tableColumn id="11" name="Geographic Scope"/>
    <x:tableColumn id="12" name="Start Date"/>
    <x:tableColumn id="13" name="Deadline"/>
    <x:tableColumn id="14" name="Success Criterion"/>
    <x:tableColumn id="15" name="Failure Criterion"/>
    <x:tableColumn id="16" name="Resolution Source"/>
    <x:tableColumn id="17" name="Immutable Hash / Archive Ref"/>
    <x:tableColumn id="18" name="Source / Archive URL"/>
    <x:tableColumn id="19" name="Status"/>
    <x:tableColumn id="20" name="Resolution Date"/>
    <x:tableColumn id="21" name="Outcome Summary"/>
    <x:tableColumn id="22" name="Outcome Numeric"/>
    <x:tableColumn id="23" name="Brier Score"/>
    <x:tableColumn id="24" name="Benchmark Probability"/>
    <x:tableColumn id="25" name="Benchmark Brier"/>
    <x:tableColumn id="26" name="Brier Improvement"/>
    <x:tableColumn id="27" name="PRED Level"/>
    <x:tableColumn id="28" name="Specificity"/>
    <x:tableColumn id="29" name="Queue Flag"/>
    <x:tableColumn id="30" name="Reviewer"/>
    <x:tableColumn id="31" name="Audit Status"/>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ClaimantsTable" displayName="ClaimantsTable" ref="A3:L53" headerRowCount="1" totalsRowCount="0" totalsRowShown="0">
  <x:tableColumns count="12">
    <x:tableColumn id="1" name="Claimant ID"/>
    <x:tableColumn id="2" name="Display Name"/>
    <x:tableColumn id="3" name="Tradition / Method"/>
    <x:tableColumn id="4" name="Active?"/>
    <x:tableColumn id="5" name="Notes"/>
    <x:tableColumn id="6" name="Predictions"/>
    <x:tableColumn id="7" name="Resolved"/>
    <x:tableColumn id="8" name="Hits"/>
    <x:tableColumn id="9" name="Hit Rate"/>
    <x:tableColumn id="10" name="Mean Brier"/>
    <x:tableColumn id="11" name="Mean Benchmark Brier"/>
    <x:tableColumn id="12" name="Mean Brier Improvement"/>
  </x:tableColumns>
  <x:tableStyleInfo name="TableStyleMedium2" showFirstColumn="0" showLastColumn="0" showRowStripes="1" showColumnStripes="0"/>
</x:table>
</file>

<file path=xl/tables/table3.xml><?xml version="1.0" encoding="utf-8"?>
<x:table xmlns:x="http://schemas.openxmlformats.org/spreadsheetml/2006/main" id="3" name="AuditLogTable" displayName="AuditLogTable" ref="A4:I304" headerRowCount="1" totalsRowCount="0" totalsRowShown="0">
  <x:tableColumns count="9">
    <x:tableColumn id="1" name="Change ID"/>
    <x:tableColumn id="2" name="Prediction ID"/>
    <x:tableColumn id="3" name="Change Timestamp"/>
    <x:tableColumn id="4" name="Change Type"/>
    <x:tableColumn id="5" name="Field"/>
    <x:tableColumn id="6" name="Prior Value"/>
    <x:tableColumn id="7" name="New Value"/>
    <x:tableColumn id="8" name="Reason"/>
    <x:tableColumn id="9" name="Authorized B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1f227cf0a714fdc" /></Relationships>
</file>

<file path=xl/worksheets/_rels/sheet4.xml.rels>&#65279;<?xml version="1.0" encoding="utf-8"?><Relationships xmlns="http://schemas.openxmlformats.org/package/2006/relationships"><Relationship Type="http://schemas.openxmlformats.org/officeDocument/2006/relationships/table" Target="/xl/tables/table2.xml" Id="R5b8c272d5daf4ad4" /></Relationships>
</file>

<file path=xl/worksheets/_rels/sheet5.xml.rels>&#65279;<?xml version="1.0" encoding="utf-8"?><Relationships xmlns="http://schemas.openxmlformats.org/package/2006/relationships"><Relationship Type="http://schemas.openxmlformats.org/officeDocument/2006/relationships/table" Target="/xl/tables/table3.xml" Id="Rb9bc05cb4d9c487d" /></Relationships>
</file>

<file path=xl/worksheets/_rels/sheet6.xml.rels>&#65279;<?xml version="1.0" encoding="utf-8"?><Relationships xmlns="http://schemas.openxmlformats.org/package/2006/relationships"><Relationship Type="http://schemas.openxmlformats.org/officeDocument/2006/relationships/drawing" Target="/xl/drawings/drawing1.xml" Id="R5fa7359ed96c45fc"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3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5" t="str">
        <x:v>HTERP Prospective Registry — v1.0</x:v>
      </x:c>
      <x:c r="B1" s="5"/>
      <x:c r="C1" s="5"/>
      <x:c r="D1" s="5"/>
      <x:c r="E1" s="5"/>
      <x:c r="F1" s="5"/>
      <x:c r="G1" s="5"/>
      <x:c r="H1" s="5"/>
    </x:row>
    <x:row r="3">
      <x:c r="A3" s="13" t="str">
        <x:v>Purpose</x:v>
      </x:c>
      <x:c r="B3" s="13"/>
      <x:c r="C3" s="13"/>
      <x:c r="D3" s="13"/>
      <x:c r="E3" s="13"/>
      <x:c r="F3" s="13"/>
      <x:c r="G3" s="13"/>
      <x:c r="H3" s="13"/>
    </x:row>
    <x:row r="4">
      <x:c r="A4" s="21" t="str">
        <x:v>This workbook is the operational registry for prospective HTERP predictions. It is designed to preserve exact wording before outcomes are known, define success and failure in advance, retain misses, compare performance with baselines, and keep later interpretation separate from the original claim.</x:v>
      </x:c>
      <x:c r="B4" s="21"/>
      <x:c r="C4" s="21"/>
      <x:c r="D4" s="21"/>
      <x:c r="E4" s="21"/>
      <x:c r="F4" s="21"/>
      <x:c r="G4" s="21"/>
      <x:c r="H4" s="21"/>
    </x:row>
    <x:row r="5">
      <x:c r="A5" s="21"/>
      <x:c r="B5" s="21"/>
      <x:c r="C5" s="21"/>
      <x:c r="D5" s="21"/>
      <x:c r="E5" s="21"/>
      <x:c r="F5" s="21"/>
      <x:c r="G5" s="21"/>
      <x:c r="H5" s="21"/>
    </x:row>
    <x:row r="6">
      <x:c r="A6" s="21"/>
      <x:c r="B6" s="21"/>
      <x:c r="C6" s="21"/>
      <x:c r="D6" s="21"/>
      <x:c r="E6" s="21"/>
      <x:c r="F6" s="21"/>
      <x:c r="G6" s="21"/>
      <x:c r="H6" s="21"/>
    </x:row>
    <x:row r="8">
      <x:c r="A8" s="30" t="str">
        <x:v>Step</x:v>
      </x:c>
      <x:c r="B8" s="30" t="str">
        <x:v>Rule</x:v>
      </x:c>
      <x:c r="C8" s="30" t="str">
        <x:v>Operational meaning</x:v>
      </x:c>
      <x:c r="D8" s="30" t="str"/>
      <x:c r="E8" s="30" t="str"/>
      <x:c r="F8" s="30" t="str"/>
      <x:c r="G8" s="30" t="str"/>
      <x:c r="H8" s="30" t="str"/>
    </x:row>
    <x:row r="9">
      <x:c r="A9" s="38" t="str">
        <x:v>1</x:v>
      </x:c>
      <x:c r="B9" s="38" t="str">
        <x:v>Register before resolution</x:v>
      </x:c>
      <x:c r="C9" s="38" t="str">
        <x:v>Enter the exact prediction in the Registry before the target outcome is known.</x:v>
      </x:c>
      <x:c r="D9" s="38"/>
      <x:c r="E9" s="38"/>
      <x:c r="F9" s="38"/>
      <x:c r="G9" s="38"/>
      <x:c r="H9" s="38"/>
    </x:row>
    <x:row r="10">
      <x:c r="A10" s="38" t="str">
        <x:v>2</x:v>
      </x:c>
      <x:c r="B10" s="38" t="str">
        <x:v>Freeze wording</x:v>
      </x:c>
      <x:c r="C10" s="38" t="str">
        <x:v>Never rewrite the original wording after registration. Corrections become a new version linked to the original record.</x:v>
      </x:c>
      <x:c r="D10" s="38"/>
      <x:c r="E10" s="38"/>
      <x:c r="F10" s="38"/>
      <x:c r="G10" s="38"/>
      <x:c r="H10" s="38"/>
    </x:row>
    <x:row r="11">
      <x:c r="A11" s="38" t="str">
        <x:v>3</x:v>
      </x:c>
      <x:c r="B11" s="38" t="str">
        <x:v>Make it falsifiable</x:v>
      </x:c>
      <x:c r="C11" s="38" t="str">
        <x:v>Specify a deadline plus explicit success and failure criteria. Vague or symbolic-only claims remain PRED-0/PRED-1.</x:v>
      </x:c>
      <x:c r="D11" s="38"/>
      <x:c r="E11" s="38"/>
      <x:c r="F11" s="38"/>
      <x:c r="G11" s="38"/>
      <x:c r="H11" s="38"/>
    </x:row>
    <x:row r="12">
      <x:c r="A12" s="38" t="str">
        <x:v>4</x:v>
      </x:c>
      <x:c r="B12" s="38" t="str">
        <x:v>Preselect the resolution source</x:v>
      </x:c>
      <x:c r="C12" s="38" t="str">
        <x:v>Name the public or authoritative source that will determine the outcome.</x:v>
      </x:c>
      <x:c r="D12" s="38"/>
      <x:c r="E12" s="38"/>
      <x:c r="F12" s="38"/>
      <x:c r="G12" s="38"/>
      <x:c r="H12" s="38"/>
    </x:row>
    <x:row r="13">
      <x:c r="A13" s="38" t="str">
        <x:v>5</x:v>
      </x:c>
      <x:c r="B13" s="38" t="str">
        <x:v>Archive externally</x:v>
      </x:c>
      <x:c r="C13" s="38" t="str">
        <x:v>Store an immutable timestamp, cryptographic hash, public archive reference, or equivalent evidence of the original wording.</x:v>
      </x:c>
      <x:c r="D13" s="38"/>
      <x:c r="E13" s="38"/>
      <x:c r="F13" s="38"/>
      <x:c r="G13" s="38"/>
      <x:c r="H13" s="38"/>
    </x:row>
    <x:row r="14">
      <x:c r="A14" s="38" t="str">
        <x:v>6</x:v>
      </x:c>
      <x:c r="B14" s="38" t="str">
        <x:v>Retain every miss</x:v>
      </x:c>
      <x:c r="C14" s="38" t="str">
        <x:v>Never delete or hide resolved misses. Voids require a predefined reason and an Audit Log entry.</x:v>
      </x:c>
      <x:c r="D14" s="38"/>
      <x:c r="E14" s="38"/>
      <x:c r="F14" s="38"/>
      <x:c r="G14" s="38"/>
      <x:c r="H14" s="38"/>
    </x:row>
    <x:row r="15">
      <x:c r="A15" s="38" t="str">
        <x:v>7</x:v>
      </x:c>
      <x:c r="B15" s="38" t="str">
        <x:v>Score probabilities</x:v>
      </x:c>
      <x:c r="C15" s="38" t="str">
        <x:v>When a probability is supplied, Brier Score is calculated automatically after resolution.</x:v>
      </x:c>
      <x:c r="D15" s="38"/>
      <x:c r="E15" s="38"/>
      <x:c r="F15" s="38"/>
      <x:c r="G15" s="38"/>
      <x:c r="H15" s="38"/>
    </x:row>
    <x:row r="16">
      <x:c r="A16" s="38" t="str">
        <x:v>8</x:v>
      </x:c>
      <x:c r="B16" s="38" t="str">
        <x:v>Separate anomaly from source</x:v>
      </x:c>
      <x:c r="C16" s="38" t="str">
        <x:v>Even strong predictive performance does not by itself identify God, spirits, psi, or another source.</x:v>
      </x:c>
      <x:c r="D16" s="38"/>
      <x:c r="E16" s="38"/>
      <x:c r="F16" s="38"/>
      <x:c r="G16" s="38"/>
      <x:c r="H16" s="38"/>
    </x:row>
    <x:row r="18">
      <x:c r="A18" s="13" t="str">
        <x:v>PRED Evidence Ladder</x:v>
      </x:c>
      <x:c r="B18" s="13"/>
      <x:c r="C18" s="13"/>
      <x:c r="D18" s="13"/>
      <x:c r="E18" s="13"/>
      <x:c r="F18" s="13"/>
      <x:c r="G18" s="13"/>
      <x:c r="H18" s="13"/>
    </x:row>
    <x:row r="20">
      <x:c r="A20" s="30" t="str">
        <x:v>Level</x:v>
      </x:c>
      <x:c r="B20" s="30" t="str">
        <x:v>Meaning</x:v>
      </x:c>
      <x:c r="C20" s="30" t="str">
        <x:v>Minimum interpretation</x:v>
      </x:c>
      <x:c r="E20" s="30" t="str">
        <x:v>Immutable registration: minimum good practice</x:v>
      </x:c>
      <x:c r="F20" s="30"/>
      <x:c r="G20" s="30"/>
      <x:c r="H20" s="30"/>
    </x:row>
    <x:row r="21">
      <x:c r="A21" s="36" t="str">
        <x:v>PRED-0</x:v>
      </x:c>
      <x:c r="B21" s="36" t="str">
        <x:v>Vague / unscorable</x:v>
      </x:c>
      <x:c r="C21" s="36" t="str">
        <x:v>No operational success/failure condition.</x:v>
      </x:c>
      <x:c r="E21" s="21" t="str">
        <x:v>Freeze exact wording before outcome.</x:v>
      </x:c>
      <x:c r="F21" s="21"/>
      <x:c r="G21" s="21"/>
      <x:c r="H21" s="21"/>
    </x:row>
    <x:row r="22">
      <x:c r="A22" s="36" t="str">
        <x:v>PRED-1</x:v>
      </x:c>
      <x:c r="B22" s="36" t="str">
        <x:v>Specific but retrospective</x:v>
      </x:c>
      <x:c r="C22" s="36" t="str">
        <x:v>Claim is specific but was not securely registered before the outcome.</x:v>
      </x:c>
      <x:c r="E22" s="21" t="str">
        <x:v>Record registration timestamp.</x:v>
      </x:c>
      <x:c r="F22" s="21"/>
      <x:c r="G22" s="21"/>
      <x:c r="H22" s="21"/>
    </x:row>
    <x:row r="23">
      <x:c r="A23" s="36" t="str">
        <x:v>PRED-2</x:v>
      </x:c>
      <x:c r="B23" s="36" t="str">
        <x:v>Timestamped and specific</x:v>
      </x:c>
      <x:c r="C23" s="36" t="str">
        <x:v>Prediction is fixed before outcome with a deadline and criteria.</x:v>
      </x:c>
      <x:c r="E23" s="21" t="str">
        <x:v>Generate/store a cryptographic hash or equivalent immutable archive reference.</x:v>
      </x:c>
      <x:c r="F23" s="21"/>
      <x:c r="G23" s="21"/>
      <x:c r="H23" s="21"/>
    </x:row>
    <x:row r="24">
      <x:c r="A24" s="36" t="str">
        <x:v>PRED-3</x:v>
      </x:c>
      <x:c r="B24" s="36" t="str">
        <x:v>Probability + benchmark</x:v>
      </x:c>
      <x:c r="C24" s="36" t="str">
        <x:v>Adds probability, fixed resolution source, and comparison baseline.</x:v>
      </x:c>
      <x:c r="E24" s="21" t="str">
        <x:v>Keep all later versions and log the change.</x:v>
      </x:c>
      <x:c r="F24" s="21"/>
      <x:c r="G24" s="21"/>
      <x:c r="H24" s="21"/>
    </x:row>
    <x:row r="25">
      <x:c r="A25" s="36" t="str">
        <x:v>PRED-4</x:v>
      </x:c>
      <x:c r="B25" s="36" t="str">
        <x:v>Repeated superior performance</x:v>
      </x:c>
      <x:c r="C25" s="36" t="str">
        <x:v>Repeated, prospectively scored performance exceeds meaningful benchmarks.</x:v>
      </x:c>
      <x:c r="E25" s="21" t="str">
        <x:v>Never delete resolved misses.</x:v>
      </x:c>
      <x:c r="F25" s="21"/>
      <x:c r="G25" s="21"/>
      <x:c r="H25" s="21"/>
    </x:row>
    <x:row r="27">
      <x:c r="A27" s="43" t="str">
        <x:v>Important: a positive result updates the credibility of the specific claimant/method. It does not automatically validate every doctrine associated with that claimant.</x:v>
      </x:c>
      <x:c r="B27" s="43"/>
      <x:c r="C27" s="43"/>
      <x:c r="D27" s="43"/>
      <x:c r="E27" s="43"/>
      <x:c r="F27" s="43"/>
      <x:c r="G27" s="43"/>
      <x:c r="H27" s="43"/>
    </x:row>
    <x:row r="28">
      <x:c r="A28" s="43"/>
      <x:c r="B28" s="43"/>
      <x:c r="C28" s="43"/>
      <x:c r="D28" s="43"/>
      <x:c r="E28" s="43"/>
      <x:c r="F28" s="43"/>
      <x:c r="G28" s="43"/>
      <x:c r="H28" s="43"/>
    </x:row>
  </x:sheetData>
  <x:mergeCells>
    <x:mergeCell ref="A1:H1"/>
    <x:mergeCell ref="A3:H3"/>
    <x:mergeCell ref="A4:H6"/>
    <x:mergeCell ref="C9:H9"/>
    <x:mergeCell ref="C10:H10"/>
    <x:mergeCell ref="C11:H11"/>
    <x:mergeCell ref="C12:H12"/>
    <x:mergeCell ref="C13:H13"/>
    <x:mergeCell ref="C14:H14"/>
    <x:mergeCell ref="C15:H15"/>
    <x:mergeCell ref="C16:H16"/>
    <x:mergeCell ref="A18:H18"/>
    <x:mergeCell ref="A27:H28"/>
    <x:mergeCell ref="E20:H20"/>
    <x:mergeCell ref="E21:H21"/>
    <x:mergeCell ref="E22:H22"/>
    <x:mergeCell ref="E23:H23"/>
    <x:mergeCell ref="E24:H24"/>
    <x:mergeCell ref="E25:H25"/>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s>
  <x:sheetData>
    <x:row r="1">
      <x:c r="A1" s="30" t="str">
        <x:v>Statuses</x:v>
      </x:c>
      <x:c r="B1" s="30" t="str">
        <x:v>PRED Levels</x:v>
      </x:c>
      <x:c r="C1" s="30" t="str">
        <x:v>Specificity</x:v>
      </x:c>
      <x:c r="D1" s="30" t="str">
        <x:v>Target Domains</x:v>
      </x:c>
      <x:c r="E1" s="30" t="str">
        <x:v>Audit Status</x:v>
      </x:c>
      <x:c r="F1" s="30" t="str">
        <x:v>Claimant Active</x:v>
      </x:c>
      <x:c r="G1" s="30" t="str">
        <x:v>Tradition / Method Examples</x:v>
      </x:c>
      <x:c r="H1" s="30" t="str">
        <x:v>Queue Flags</x:v>
      </x:c>
    </x:row>
    <x:row r="2">
      <x:c r="A2" t="str">
        <x:v>Open</x:v>
      </x:c>
      <x:c r="B2" t="str">
        <x:v>PRED-0</x:v>
      </x:c>
      <x:c r="C2" t="str">
        <x:v>Exact</x:v>
      </x:c>
      <x:c r="D2" t="str">
        <x:v>Politics / Elections</x:v>
      </x:c>
      <x:c r="E2" t="str">
        <x:v>Clean</x:v>
      </x:c>
      <x:c r="F2" t="str">
        <x:v>Yes</x:v>
      </x:c>
      <x:c r="G2" t="str">
        <x:v>Prophetic / Revelatory</x:v>
      </x:c>
      <x:c r="H2" t="str">
        <x:v>Open</x:v>
      </x:c>
    </x:row>
    <x:row r="3">
      <x:c r="A3" t="str">
        <x:v>Resolved Hit</x:v>
      </x:c>
      <x:c r="B3" t="str">
        <x:v>PRED-1</x:v>
      </x:c>
      <x:c r="C3" t="str">
        <x:v>High</x:v>
      </x:c>
      <x:c r="D3" t="str">
        <x:v>Economy / Markets</x:v>
      </x:c>
      <x:c r="E3" t="str">
        <x:v>Needs Review</x:v>
      </x:c>
      <x:c r="F3" t="str">
        <x:v>No</x:v>
      </x:c>
      <x:c r="G3" t="str">
        <x:v>Dream / Vision</x:v>
      </x:c>
      <x:c r="H3" t="str">
        <x:v>Due ≤30d</x:v>
      </x:c>
    </x:row>
    <x:row r="4">
      <x:c r="A4" t="str">
        <x:v>Resolved Miss</x:v>
      </x:c>
      <x:c r="B4" t="str">
        <x:v>PRED-2</x:v>
      </x:c>
      <x:c r="C4" t="str">
        <x:v>Medium</x:v>
      </x:c>
      <x:c r="D4" t="str">
        <x:v>Weather / Geophysical</x:v>
      </x:c>
      <x:c r="E4" t="str">
        <x:v>Amended</x:v>
      </x:c>
      <x:c r="F4"/>
      <x:c r="G4" t="str">
        <x:v>Charismatic Word of Knowledge</x:v>
      </x:c>
      <x:c r="H4" t="str">
        <x:v>OVERDUE</x:v>
      </x:c>
    </x:row>
    <x:row r="5">
      <x:c r="A5" t="str">
        <x:v>Void predefined reason</x:v>
      </x:c>
      <x:c r="B5" t="str">
        <x:v>PRED-3</x:v>
      </x:c>
      <x:c r="C5" t="str">
        <x:v>Low</x:v>
      </x:c>
      <x:c r="D5" t="str">
        <x:v>Conflict / Geopolitics</x:v>
      </x:c>
      <x:c r="E5" t="str">
        <x:v>Voided</x:v>
      </x:c>
      <x:c r="F5"/>
      <x:c r="G5" t="str">
        <x:v>Channeling</x:v>
      </x:c>
      <x:c r="H5" t="str">
        <x:v>No deadline</x:v>
      </x:c>
    </x:row>
    <x:row r="6">
      <x:c r="A6"/>
      <x:c r="B6" t="str">
        <x:v>PRED-4</x:v>
      </x:c>
      <x:c r="C6" t="str">
        <x:v>Vague / Unscorable</x:v>
      </x:c>
      <x:c r="D6" t="str">
        <x:v>Public Health</x:v>
      </x:c>
      <x:c r="E6" t="str">
        <x:v>Locked</x:v>
      </x:c>
      <x:c r="F6"/>
      <x:c r="G6" t="str">
        <x:v>Divination / Oracle</x:v>
      </x:c>
      <x:c r="H6"/>
    </x:row>
    <x:row r="7">
      <x:c r="A7"/>
      <x:c r="B7"/>
      <x:c r="C7"/>
      <x:c r="D7" t="str">
        <x:v>Technology</x:v>
      </x:c>
      <x:c r="E7"/>
      <x:c r="F7"/>
      <x:c r="G7" t="str">
        <x:v>Astrology</x:v>
      </x:c>
      <x:c r="H7"/>
    </x:row>
    <x:row r="8">
      <x:c r="A8"/>
      <x:c r="B8"/>
      <x:c r="C8"/>
      <x:c r="D8" t="str">
        <x:v>Religion / Community</x:v>
      </x:c>
      <x:c r="E8"/>
      <x:c r="F8"/>
      <x:c r="G8" t="str">
        <x:v>Psychic / Intuitive</x:v>
      </x:c>
      <x:c r="H8"/>
    </x:row>
    <x:row r="9">
      <x:c r="A9"/>
      <x:c r="B9"/>
      <x:c r="C9"/>
      <x:c r="D9" t="str">
        <x:v>Personal / Private</x:v>
      </x:c>
      <x:c r="E9"/>
      <x:c r="F9"/>
      <x:c r="G9" t="str">
        <x:v>Secular Forecasting</x:v>
      </x:c>
      <x:c r="H9"/>
    </x:row>
    <x:row r="10">
      <x:c r="A10"/>
      <x:c r="B10"/>
      <x:c r="C10"/>
      <x:c r="D10" t="str">
        <x:v>Sports</x:v>
      </x:c>
      <x:c r="E10"/>
      <x:c r="F10"/>
      <x:c r="G10" t="str">
        <x:v>Other</x:v>
      </x:c>
      <x:c r="H10"/>
    </x:row>
    <x:row r="11">
      <x:c r="A11"/>
      <x:c r="B11"/>
      <x:c r="C11"/>
      <x:c r="D11" t="str">
        <x:v>Other</x:v>
      </x:c>
      <x:c r="E11"/>
      <x:c r="F11"/>
      <x:c r="G11"/>
      <x:c r="H11"/>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8" hidden="0" customWidth="1"/>
    <x:col min="3" max="3" width="18" hidden="0" customWidth="1"/>
    <x:col min="4" max="4" width="14" hidden="0" customWidth="1"/>
    <x:col min="5" max="5" width="20" hidden="0" customWidth="1"/>
    <x:col min="6" max="6" width="24" hidden="0" customWidth="1"/>
    <x:col min="7" max="7" width="19" hidden="0" customWidth="1"/>
    <x:col min="8" max="8" width="42" hidden="0" customWidth="1"/>
    <x:col min="9" max="9" width="12" hidden="0" customWidth="1"/>
    <x:col min="10" max="10" width="21" hidden="0" customWidth="1"/>
    <x:col min="11" max="11" width="18" hidden="0" customWidth="1"/>
    <x:col min="12" max="12" width="13" hidden="0" customWidth="1"/>
    <x:col min="13" max="13" width="13" hidden="0" customWidth="1"/>
    <x:col min="14" max="14" width="34" hidden="0" customWidth="1"/>
    <x:col min="15" max="15" width="34" hidden="0" customWidth="1"/>
    <x:col min="16" max="16" width="28" hidden="0" customWidth="1"/>
    <x:col min="17" max="17" width="26" hidden="0" customWidth="1"/>
    <x:col min="18" max="18" width="28" hidden="0" customWidth="1"/>
    <x:col min="19" max="19" width="20" hidden="0" customWidth="1"/>
    <x:col min="20" max="20" width="14" hidden="0" customWidth="1"/>
    <x:col min="21" max="21" width="32" hidden="0" customWidth="1"/>
    <x:col min="22" max="22" width="12" hidden="0" customWidth="1"/>
    <x:col min="23" max="23" width="12" hidden="0" customWidth="1"/>
    <x:col min="24" max="24" width="14" hidden="0" customWidth="1"/>
    <x:col min="25" max="25" width="13" hidden="0" customWidth="1"/>
    <x:col min="26" max="26" width="14" hidden="0" customWidth="1"/>
    <x:col min="27" max="27" width="12" hidden="0" customWidth="1"/>
    <x:col min="28" max="28" width="18" hidden="0" customWidth="1"/>
    <x:col min="29" max="29" width="14" hidden="0" customWidth="1"/>
    <x:col min="30" max="30" width="18" hidden="0" customWidth="1"/>
    <x:col min="31" max="31" width="16" hidden="0" customWidth="1"/>
    <x:col min="32" max="32" width="28" hidden="0" customWidth="1"/>
  </x:cols>
  <x:sheetData>
    <x:row r="1" ht="28" customHeight="1">
      <x:c r="A1" s="5" t="str">
        <x:v>HTERP Prospective Prediction Registry</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row>
    <x:row r="2">
      <x:c r="A2" s="43" t="str">
        <x:v>Official record: preserve exact wording, record before outcome, never delete misses, and log any amendment in Audit Log.</x:v>
      </x:c>
      <x:c r="B2" s="43"/>
      <x:c r="C2" s="43"/>
      <x:c r="D2" s="43"/>
      <x:c r="E2" s="43"/>
      <x:c r="F2" s="43"/>
      <x:c r="G2" s="43"/>
      <x:c r="H2" s="43"/>
      <x:c r="I2" s="43"/>
      <x:c r="J2" s="43"/>
      <x:c r="K2" s="43"/>
      <x:c r="L2" s="43"/>
      <x:c r="M2" s="43"/>
      <x:c r="N2" s="43"/>
      <x:c r="O2" s="43"/>
      <x:c r="P2" s="43"/>
      <x:c r="Q2" s="43"/>
      <x:c r="R2" s="43"/>
      <x:c r="S2" s="43"/>
      <x:c r="T2" s="43"/>
      <x:c r="U2" s="43"/>
      <x:c r="V2" s="43"/>
      <x:c r="W2" s="43"/>
      <x:c r="X2" s="43"/>
      <x:c r="Y2" s="43"/>
      <x:c r="Z2" s="43"/>
      <x:c r="AA2" s="43"/>
      <x:c r="AB2" s="43"/>
      <x:c r="AC2" s="43"/>
      <x:c r="AD2" s="43"/>
      <x:c r="AE2" s="43"/>
      <x:c r="AF2" s="43"/>
    </x:row>
    <x:row r="5" ht="34" customHeight="1">
      <x:c r="A5" s="30" t="str">
        <x:v>Prediction ID</x:v>
      </x:c>
      <x:c r="B5" s="30" t="str">
        <x:v>Version</x:v>
      </x:c>
      <x:c r="C5" s="30" t="str">
        <x:v>Original Prediction ID</x:v>
      </x:c>
      <x:c r="D5" s="30" t="str">
        <x:v>Claimant ID</x:v>
      </x:c>
      <x:c r="E5" s="30" t="str">
        <x:v>Claimant / Display Name</x:v>
      </x:c>
      <x:c r="F5" s="30" t="str">
        <x:v>Tradition / Method</x:v>
      </x:c>
      <x:c r="G5" s="30" t="str">
        <x:v>Registration Timestamp</x:v>
      </x:c>
      <x:c r="H5" s="30" t="str">
        <x:v>Exact Wording</x:v>
      </x:c>
      <x:c r="I5" s="30" t="str">
        <x:v>Probability</x:v>
      </x:c>
      <x:c r="J5" s="30" t="str">
        <x:v>Target Domain</x:v>
      </x:c>
      <x:c r="K5" s="30" t="str">
        <x:v>Geographic Scope</x:v>
      </x:c>
      <x:c r="L5" s="30" t="str">
        <x:v>Start Date</x:v>
      </x:c>
      <x:c r="M5" s="30" t="str">
        <x:v>Deadline</x:v>
      </x:c>
      <x:c r="N5" s="30" t="str">
        <x:v>Success Criterion</x:v>
      </x:c>
      <x:c r="O5" s="30" t="str">
        <x:v>Failure Criterion</x:v>
      </x:c>
      <x:c r="P5" s="30" t="str">
        <x:v>Resolution Source</x:v>
      </x:c>
      <x:c r="Q5" s="30" t="str">
        <x:v>Immutable Hash / Archive Ref</x:v>
      </x:c>
      <x:c r="R5" s="30" t="str">
        <x:v>Source / Archive URL</x:v>
      </x:c>
      <x:c r="S5" s="30" t="str">
        <x:v>Status</x:v>
      </x:c>
      <x:c r="T5" s="30" t="str">
        <x:v>Resolution Date</x:v>
      </x:c>
      <x:c r="U5" s="30" t="str">
        <x:v>Outcome Summary</x:v>
      </x:c>
      <x:c r="V5" s="30" t="str">
        <x:v>Outcome Numeric</x:v>
      </x:c>
      <x:c r="W5" s="30" t="str">
        <x:v>Brier Score</x:v>
      </x:c>
      <x:c r="X5" s="30" t="str">
        <x:v>Benchmark Probability</x:v>
      </x:c>
      <x:c r="Y5" s="30" t="str">
        <x:v>Benchmark Brier</x:v>
      </x:c>
      <x:c r="Z5" s="30" t="str">
        <x:v>Brier Improvement</x:v>
      </x:c>
      <x:c r="AA5" s="30" t="str">
        <x:v>PRED Level</x:v>
      </x:c>
      <x:c r="AB5" s="30" t="str">
        <x:v>Specificity</x:v>
      </x:c>
      <x:c r="AC5" s="30" t="str">
        <x:v>Queue Flag</x:v>
      </x:c>
      <x:c r="AD5" s="30" t="str">
        <x:v>Reviewer</x:v>
      </x:c>
      <x:c r="AE5" s="30" t="str">
        <x:v>Audit Status</x:v>
      </x:c>
      <x:c r="AF5" s="30" t="str">
        <x:v>Notes</x:v>
      </x:c>
    </x:row>
    <x:row r="6">
      <x:c r="G6" s="48"/>
      <x:c r="H6" s="36"/>
      <x:c r="I6" s="52"/>
      <x:c r="L6" s="50"/>
      <x:c r="M6" s="50"/>
      <x:c r="N6" s="36"/>
      <x:c r="O6" s="36"/>
      <x:c r="P6" s="36"/>
      <x:c r="Q6" s="36"/>
      <x:c r="R6" s="36"/>
      <x:c r="T6" s="50"/>
      <x:c r="U6" s="36"/>
      <x:c r="V6" t="str">
        <x:f>IF(S6="Resolved Hit",1,IF(S6="Resolved Miss",0,""))</x:f>
      </x:c>
      <x:c r="W6" s="54" t="str">
        <x:f>IF(OR(V6="",I6=""),"",((I6-V6)^2))</x:f>
      </x:c>
      <x:c r="X6" s="54"/>
      <x:c r="Y6" s="54" t="str">
        <x:f>IF(OR(V6="",X6=""),"",((X6-V6)^2))</x:f>
      </x:c>
      <x:c r="Z6" s="54" t="str">
        <x:f>IF(OR(W6="",Y6=""),"",Y6-W6)</x:f>
      </x:c>
      <x:c r="AC6" t="str">
        <x:f>IF(S6&lt;&gt;"Open","",IF(M6="","No deadline",IF(M6&lt;TODAY(),"OVERDUE",IF(M6&lt;=TODAY()+30,"Due ≤30d","Open"))))</x:f>
      </x:c>
      <x:c r="AF6" s="36"/>
    </x:row>
    <x:row r="7">
      <x:c r="G7" s="48"/>
      <x:c r="H7" s="36"/>
      <x:c r="I7" s="52"/>
      <x:c r="L7" s="50"/>
      <x:c r="M7" s="50"/>
      <x:c r="N7" s="36"/>
      <x:c r="O7" s="36"/>
      <x:c r="P7" s="36"/>
      <x:c r="Q7" s="36"/>
      <x:c r="R7" s="36"/>
      <x:c r="T7" s="50"/>
      <x:c r="U7" s="36"/>
      <x:c r="V7" t="str">
        <x:f>IF(S7="Resolved Hit",1,IF(S7="Resolved Miss",0,""))</x:f>
      </x:c>
      <x:c r="W7" s="54" t="str">
        <x:f>IF(OR(V7="",I7=""),"",((I7-V7)^2))</x:f>
      </x:c>
      <x:c r="X7" s="54"/>
      <x:c r="Y7" s="54" t="str">
        <x:f>IF(OR(V7="",X7=""),"",((X7-V7)^2))</x:f>
      </x:c>
      <x:c r="Z7" s="54" t="str">
        <x:f>IF(OR(W7="",Y7=""),"",Y7-W7)</x:f>
      </x:c>
      <x:c r="AC7" t="str">
        <x:f>IF(S7&lt;&gt;"Open","",IF(M7="","No deadline",IF(M7&lt;TODAY(),"OVERDUE",IF(M7&lt;=TODAY()+30,"Due ≤30d","Open"))))</x:f>
      </x:c>
      <x:c r="AF7" s="36"/>
    </x:row>
    <x:row r="8">
      <x:c r="G8" s="48"/>
      <x:c r="H8" s="36"/>
      <x:c r="I8" s="52"/>
      <x:c r="L8" s="50"/>
      <x:c r="M8" s="50"/>
      <x:c r="N8" s="36"/>
      <x:c r="O8" s="36"/>
      <x:c r="P8" s="36"/>
      <x:c r="Q8" s="36"/>
      <x:c r="R8" s="36"/>
      <x:c r="T8" s="50"/>
      <x:c r="U8" s="36"/>
      <x:c r="V8" t="str">
        <x:f>IF(S8="Resolved Hit",1,IF(S8="Resolved Miss",0,""))</x:f>
      </x:c>
      <x:c r="W8" s="54" t="str">
        <x:f>IF(OR(V8="",I8=""),"",((I8-V8)^2))</x:f>
      </x:c>
      <x:c r="X8" s="54"/>
      <x:c r="Y8" s="54" t="str">
        <x:f>IF(OR(V8="",X8=""),"",((X8-V8)^2))</x:f>
      </x:c>
      <x:c r="Z8" s="54" t="str">
        <x:f>IF(OR(W8="",Y8=""),"",Y8-W8)</x:f>
      </x:c>
      <x:c r="AC8" t="str">
        <x:f>IF(S8&lt;&gt;"Open","",IF(M8="","No deadline",IF(M8&lt;TODAY(),"OVERDUE",IF(M8&lt;=TODAY()+30,"Due ≤30d","Open"))))</x:f>
      </x:c>
      <x:c r="AF8" s="36"/>
    </x:row>
    <x:row r="9">
      <x:c r="G9" s="48"/>
      <x:c r="H9" s="36"/>
      <x:c r="I9" s="52"/>
      <x:c r="L9" s="50"/>
      <x:c r="M9" s="50"/>
      <x:c r="N9" s="36"/>
      <x:c r="O9" s="36"/>
      <x:c r="P9" s="36"/>
      <x:c r="Q9" s="36"/>
      <x:c r="R9" s="36"/>
      <x:c r="T9" s="50"/>
      <x:c r="U9" s="36"/>
      <x:c r="V9" t="str">
        <x:f>IF(S9="Resolved Hit",1,IF(S9="Resolved Miss",0,""))</x:f>
      </x:c>
      <x:c r="W9" s="54" t="str">
        <x:f>IF(OR(V9="",I9=""),"",((I9-V9)^2))</x:f>
      </x:c>
      <x:c r="X9" s="54"/>
      <x:c r="Y9" s="54" t="str">
        <x:f>IF(OR(V9="",X9=""),"",((X9-V9)^2))</x:f>
      </x:c>
      <x:c r="Z9" s="54" t="str">
        <x:f>IF(OR(W9="",Y9=""),"",Y9-W9)</x:f>
      </x:c>
      <x:c r="AC9" t="str">
        <x:f>IF(S9&lt;&gt;"Open","",IF(M9="","No deadline",IF(M9&lt;TODAY(),"OVERDUE",IF(M9&lt;=TODAY()+30,"Due ≤30d","Open"))))</x:f>
      </x:c>
      <x:c r="AF9" s="36"/>
    </x:row>
    <x:row r="10">
      <x:c r="G10" s="48"/>
      <x:c r="H10" s="36"/>
      <x:c r="I10" s="52"/>
      <x:c r="L10" s="50"/>
      <x:c r="M10" s="50"/>
      <x:c r="N10" s="36"/>
      <x:c r="O10" s="36"/>
      <x:c r="P10" s="36"/>
      <x:c r="Q10" s="36"/>
      <x:c r="R10" s="36"/>
      <x:c r="T10" s="50"/>
      <x:c r="U10" s="36"/>
      <x:c r="V10" t="str">
        <x:f>IF(S10="Resolved Hit",1,IF(S10="Resolved Miss",0,""))</x:f>
      </x:c>
      <x:c r="W10" s="54" t="str">
        <x:f>IF(OR(V10="",I10=""),"",((I10-V10)^2))</x:f>
      </x:c>
      <x:c r="X10" s="54"/>
      <x:c r="Y10" s="54" t="str">
        <x:f>IF(OR(V10="",X10=""),"",((X10-V10)^2))</x:f>
      </x:c>
      <x:c r="Z10" s="54" t="str">
        <x:f>IF(OR(W10="",Y10=""),"",Y10-W10)</x:f>
      </x:c>
      <x:c r="AC10" t="str">
        <x:f>IF(S10&lt;&gt;"Open","",IF(M10="","No deadline",IF(M10&lt;TODAY(),"OVERDUE",IF(M10&lt;=TODAY()+30,"Due ≤30d","Open"))))</x:f>
      </x:c>
      <x:c r="AF10" s="36"/>
    </x:row>
    <x:row r="11">
      <x:c r="G11" s="48"/>
      <x:c r="H11" s="36"/>
      <x:c r="I11" s="52"/>
      <x:c r="L11" s="50"/>
      <x:c r="M11" s="50"/>
      <x:c r="N11" s="36"/>
      <x:c r="O11" s="36"/>
      <x:c r="P11" s="36"/>
      <x:c r="Q11" s="36"/>
      <x:c r="R11" s="36"/>
      <x:c r="T11" s="50"/>
      <x:c r="U11" s="36"/>
      <x:c r="V11" t="str">
        <x:f>IF(S11="Resolved Hit",1,IF(S11="Resolved Miss",0,""))</x:f>
      </x:c>
      <x:c r="W11" s="54" t="str">
        <x:f>IF(OR(V11="",I11=""),"",((I11-V11)^2))</x:f>
      </x:c>
      <x:c r="X11" s="54"/>
      <x:c r="Y11" s="54" t="str">
        <x:f>IF(OR(V11="",X11=""),"",((X11-V11)^2))</x:f>
      </x:c>
      <x:c r="Z11" s="54" t="str">
        <x:f>IF(OR(W11="",Y11=""),"",Y11-W11)</x:f>
      </x:c>
      <x:c r="AC11" t="str">
        <x:f>IF(S11&lt;&gt;"Open","",IF(M11="","No deadline",IF(M11&lt;TODAY(),"OVERDUE",IF(M11&lt;=TODAY()+30,"Due ≤30d","Open"))))</x:f>
      </x:c>
      <x:c r="AF11" s="36"/>
    </x:row>
    <x:row r="12">
      <x:c r="G12" s="48"/>
      <x:c r="H12" s="36"/>
      <x:c r="I12" s="52"/>
      <x:c r="L12" s="50"/>
      <x:c r="M12" s="50"/>
      <x:c r="N12" s="36"/>
      <x:c r="O12" s="36"/>
      <x:c r="P12" s="36"/>
      <x:c r="Q12" s="36"/>
      <x:c r="R12" s="36"/>
      <x:c r="T12" s="50"/>
      <x:c r="U12" s="36"/>
      <x:c r="V12" t="str">
        <x:f>IF(S12="Resolved Hit",1,IF(S12="Resolved Miss",0,""))</x:f>
      </x:c>
      <x:c r="W12" s="54" t="str">
        <x:f>IF(OR(V12="",I12=""),"",((I12-V12)^2))</x:f>
      </x:c>
      <x:c r="X12" s="54"/>
      <x:c r="Y12" s="54" t="str">
        <x:f>IF(OR(V12="",X12=""),"",((X12-V12)^2))</x:f>
      </x:c>
      <x:c r="Z12" s="54" t="str">
        <x:f>IF(OR(W12="",Y12=""),"",Y12-W12)</x:f>
      </x:c>
      <x:c r="AC12" t="str">
        <x:f>IF(S12&lt;&gt;"Open","",IF(M12="","No deadline",IF(M12&lt;TODAY(),"OVERDUE",IF(M12&lt;=TODAY()+30,"Due ≤30d","Open"))))</x:f>
      </x:c>
      <x:c r="AF12" s="36"/>
    </x:row>
    <x:row r="13">
      <x:c r="G13" s="48"/>
      <x:c r="H13" s="36"/>
      <x:c r="I13" s="52"/>
      <x:c r="L13" s="50"/>
      <x:c r="M13" s="50"/>
      <x:c r="N13" s="36"/>
      <x:c r="O13" s="36"/>
      <x:c r="P13" s="36"/>
      <x:c r="Q13" s="36"/>
      <x:c r="R13" s="36"/>
      <x:c r="T13" s="50"/>
      <x:c r="U13" s="36"/>
      <x:c r="V13" t="str">
        <x:f>IF(S13="Resolved Hit",1,IF(S13="Resolved Miss",0,""))</x:f>
      </x:c>
      <x:c r="W13" s="54" t="str">
        <x:f>IF(OR(V13="",I13=""),"",((I13-V13)^2))</x:f>
      </x:c>
      <x:c r="X13" s="54"/>
      <x:c r="Y13" s="54" t="str">
        <x:f>IF(OR(V13="",X13=""),"",((X13-V13)^2))</x:f>
      </x:c>
      <x:c r="Z13" s="54" t="str">
        <x:f>IF(OR(W13="",Y13=""),"",Y13-W13)</x:f>
      </x:c>
      <x:c r="AC13" t="str">
        <x:f>IF(S13&lt;&gt;"Open","",IF(M13="","No deadline",IF(M13&lt;TODAY(),"OVERDUE",IF(M13&lt;=TODAY()+30,"Due ≤30d","Open"))))</x:f>
      </x:c>
      <x:c r="AF13" s="36"/>
    </x:row>
    <x:row r="14">
      <x:c r="G14" s="48"/>
      <x:c r="H14" s="36"/>
      <x:c r="I14" s="52"/>
      <x:c r="L14" s="50"/>
      <x:c r="M14" s="50"/>
      <x:c r="N14" s="36"/>
      <x:c r="O14" s="36"/>
      <x:c r="P14" s="36"/>
      <x:c r="Q14" s="36"/>
      <x:c r="R14" s="36"/>
      <x:c r="T14" s="50"/>
      <x:c r="U14" s="36"/>
      <x:c r="V14" t="str">
        <x:f>IF(S14="Resolved Hit",1,IF(S14="Resolved Miss",0,""))</x:f>
      </x:c>
      <x:c r="W14" s="54" t="str">
        <x:f>IF(OR(V14="",I14=""),"",((I14-V14)^2))</x:f>
      </x:c>
      <x:c r="X14" s="54"/>
      <x:c r="Y14" s="54" t="str">
        <x:f>IF(OR(V14="",X14=""),"",((X14-V14)^2))</x:f>
      </x:c>
      <x:c r="Z14" s="54" t="str">
        <x:f>IF(OR(W14="",Y14=""),"",Y14-W14)</x:f>
      </x:c>
      <x:c r="AC14" t="str">
        <x:f>IF(S14&lt;&gt;"Open","",IF(M14="","No deadline",IF(M14&lt;TODAY(),"OVERDUE",IF(M14&lt;=TODAY()+30,"Due ≤30d","Open"))))</x:f>
      </x:c>
      <x:c r="AF14" s="36"/>
    </x:row>
    <x:row r="15">
      <x:c r="G15" s="48"/>
      <x:c r="H15" s="36"/>
      <x:c r="I15" s="52"/>
      <x:c r="L15" s="50"/>
      <x:c r="M15" s="50"/>
      <x:c r="N15" s="36"/>
      <x:c r="O15" s="36"/>
      <x:c r="P15" s="36"/>
      <x:c r="Q15" s="36"/>
      <x:c r="R15" s="36"/>
      <x:c r="T15" s="50"/>
      <x:c r="U15" s="36"/>
      <x:c r="V15" t="str">
        <x:f>IF(S15="Resolved Hit",1,IF(S15="Resolved Miss",0,""))</x:f>
      </x:c>
      <x:c r="W15" s="54" t="str">
        <x:f>IF(OR(V15="",I15=""),"",((I15-V15)^2))</x:f>
      </x:c>
      <x:c r="X15" s="54"/>
      <x:c r="Y15" s="54" t="str">
        <x:f>IF(OR(V15="",X15=""),"",((X15-V15)^2))</x:f>
      </x:c>
      <x:c r="Z15" s="54" t="str">
        <x:f>IF(OR(W15="",Y15=""),"",Y15-W15)</x:f>
      </x:c>
      <x:c r="AC15" t="str">
        <x:f>IF(S15&lt;&gt;"Open","",IF(M15="","No deadline",IF(M15&lt;TODAY(),"OVERDUE",IF(M15&lt;=TODAY()+30,"Due ≤30d","Open"))))</x:f>
      </x:c>
      <x:c r="AF15" s="36"/>
    </x:row>
    <x:row r="16">
      <x:c r="G16" s="48"/>
      <x:c r="H16" s="36"/>
      <x:c r="I16" s="52"/>
      <x:c r="L16" s="50"/>
      <x:c r="M16" s="50"/>
      <x:c r="N16" s="36"/>
      <x:c r="O16" s="36"/>
      <x:c r="P16" s="36"/>
      <x:c r="Q16" s="36"/>
      <x:c r="R16" s="36"/>
      <x:c r="T16" s="50"/>
      <x:c r="U16" s="36"/>
      <x:c r="V16" t="str">
        <x:f>IF(S16="Resolved Hit",1,IF(S16="Resolved Miss",0,""))</x:f>
      </x:c>
      <x:c r="W16" s="54" t="str">
        <x:f>IF(OR(V16="",I16=""),"",((I16-V16)^2))</x:f>
      </x:c>
      <x:c r="X16" s="54"/>
      <x:c r="Y16" s="54" t="str">
        <x:f>IF(OR(V16="",X16=""),"",((X16-V16)^2))</x:f>
      </x:c>
      <x:c r="Z16" s="54" t="str">
        <x:f>IF(OR(W16="",Y16=""),"",Y16-W16)</x:f>
      </x:c>
      <x:c r="AC16" t="str">
        <x:f>IF(S16&lt;&gt;"Open","",IF(M16="","No deadline",IF(M16&lt;TODAY(),"OVERDUE",IF(M16&lt;=TODAY()+30,"Due ≤30d","Open"))))</x:f>
      </x:c>
      <x:c r="AF16" s="36"/>
    </x:row>
    <x:row r="17">
      <x:c r="G17" s="48"/>
      <x:c r="H17" s="36"/>
      <x:c r="I17" s="52"/>
      <x:c r="L17" s="50"/>
      <x:c r="M17" s="50"/>
      <x:c r="N17" s="36"/>
      <x:c r="O17" s="36"/>
      <x:c r="P17" s="36"/>
      <x:c r="Q17" s="36"/>
      <x:c r="R17" s="36"/>
      <x:c r="T17" s="50"/>
      <x:c r="U17" s="36"/>
      <x:c r="V17" t="str">
        <x:f>IF(S17="Resolved Hit",1,IF(S17="Resolved Miss",0,""))</x:f>
      </x:c>
      <x:c r="W17" s="54" t="str">
        <x:f>IF(OR(V17="",I17=""),"",((I17-V17)^2))</x:f>
      </x:c>
      <x:c r="X17" s="54"/>
      <x:c r="Y17" s="54" t="str">
        <x:f>IF(OR(V17="",X17=""),"",((X17-V17)^2))</x:f>
      </x:c>
      <x:c r="Z17" s="54" t="str">
        <x:f>IF(OR(W17="",Y17=""),"",Y17-W17)</x:f>
      </x:c>
      <x:c r="AC17" t="str">
        <x:f>IF(S17&lt;&gt;"Open","",IF(M17="","No deadline",IF(M17&lt;TODAY(),"OVERDUE",IF(M17&lt;=TODAY()+30,"Due ≤30d","Open"))))</x:f>
      </x:c>
      <x:c r="AF17" s="36"/>
    </x:row>
    <x:row r="18">
      <x:c r="G18" s="48"/>
      <x:c r="H18" s="36"/>
      <x:c r="I18" s="52"/>
      <x:c r="L18" s="50"/>
      <x:c r="M18" s="50"/>
      <x:c r="N18" s="36"/>
      <x:c r="O18" s="36"/>
      <x:c r="P18" s="36"/>
      <x:c r="Q18" s="36"/>
      <x:c r="R18" s="36"/>
      <x:c r="T18" s="50"/>
      <x:c r="U18" s="36"/>
      <x:c r="V18" t="str">
        <x:f>IF(S18="Resolved Hit",1,IF(S18="Resolved Miss",0,""))</x:f>
      </x:c>
      <x:c r="W18" s="54" t="str">
        <x:f>IF(OR(V18="",I18=""),"",((I18-V18)^2))</x:f>
      </x:c>
      <x:c r="X18" s="54"/>
      <x:c r="Y18" s="54" t="str">
        <x:f>IF(OR(V18="",X18=""),"",((X18-V18)^2))</x:f>
      </x:c>
      <x:c r="Z18" s="54" t="str">
        <x:f>IF(OR(W18="",Y18=""),"",Y18-W18)</x:f>
      </x:c>
      <x:c r="AC18" t="str">
        <x:f>IF(S18&lt;&gt;"Open","",IF(M18="","No deadline",IF(M18&lt;TODAY(),"OVERDUE",IF(M18&lt;=TODAY()+30,"Due ≤30d","Open"))))</x:f>
      </x:c>
      <x:c r="AF18" s="36"/>
    </x:row>
    <x:row r="19">
      <x:c r="G19" s="48"/>
      <x:c r="H19" s="36"/>
      <x:c r="I19" s="52"/>
      <x:c r="L19" s="50"/>
      <x:c r="M19" s="50"/>
      <x:c r="N19" s="36"/>
      <x:c r="O19" s="36"/>
      <x:c r="P19" s="36"/>
      <x:c r="Q19" s="36"/>
      <x:c r="R19" s="36"/>
      <x:c r="T19" s="50"/>
      <x:c r="U19" s="36"/>
      <x:c r="V19" t="str">
        <x:f>IF(S19="Resolved Hit",1,IF(S19="Resolved Miss",0,""))</x:f>
      </x:c>
      <x:c r="W19" s="54" t="str">
        <x:f>IF(OR(V19="",I19=""),"",((I19-V19)^2))</x:f>
      </x:c>
      <x:c r="X19" s="54"/>
      <x:c r="Y19" s="54" t="str">
        <x:f>IF(OR(V19="",X19=""),"",((X19-V19)^2))</x:f>
      </x:c>
      <x:c r="Z19" s="54" t="str">
        <x:f>IF(OR(W19="",Y19=""),"",Y19-W19)</x:f>
      </x:c>
      <x:c r="AC19" t="str">
        <x:f>IF(S19&lt;&gt;"Open","",IF(M19="","No deadline",IF(M19&lt;TODAY(),"OVERDUE",IF(M19&lt;=TODAY()+30,"Due ≤30d","Open"))))</x:f>
      </x:c>
      <x:c r="AF19" s="36"/>
    </x:row>
    <x:row r="20">
      <x:c r="G20" s="48"/>
      <x:c r="H20" s="36"/>
      <x:c r="I20" s="52"/>
      <x:c r="L20" s="50"/>
      <x:c r="M20" s="50"/>
      <x:c r="N20" s="36"/>
      <x:c r="O20" s="36"/>
      <x:c r="P20" s="36"/>
      <x:c r="Q20" s="36"/>
      <x:c r="R20" s="36"/>
      <x:c r="T20" s="50"/>
      <x:c r="U20" s="36"/>
      <x:c r="V20" t="str">
        <x:f>IF(S20="Resolved Hit",1,IF(S20="Resolved Miss",0,""))</x:f>
      </x:c>
      <x:c r="W20" s="54" t="str">
        <x:f>IF(OR(V20="",I20=""),"",((I20-V20)^2))</x:f>
      </x:c>
      <x:c r="X20" s="54"/>
      <x:c r="Y20" s="54" t="str">
        <x:f>IF(OR(V20="",X20=""),"",((X20-V20)^2))</x:f>
      </x:c>
      <x:c r="Z20" s="54" t="str">
        <x:f>IF(OR(W20="",Y20=""),"",Y20-W20)</x:f>
      </x:c>
      <x:c r="AC20" t="str">
        <x:f>IF(S20&lt;&gt;"Open","",IF(M20="","No deadline",IF(M20&lt;TODAY(),"OVERDUE",IF(M20&lt;=TODAY()+30,"Due ≤30d","Open"))))</x:f>
      </x:c>
      <x:c r="AF20" s="36"/>
    </x:row>
    <x:row r="21">
      <x:c r="G21" s="48"/>
      <x:c r="H21" s="36"/>
      <x:c r="I21" s="52"/>
      <x:c r="L21" s="50"/>
      <x:c r="M21" s="50"/>
      <x:c r="N21" s="36"/>
      <x:c r="O21" s="36"/>
      <x:c r="P21" s="36"/>
      <x:c r="Q21" s="36"/>
      <x:c r="R21" s="36"/>
      <x:c r="T21" s="50"/>
      <x:c r="U21" s="36"/>
      <x:c r="V21" t="str">
        <x:f>IF(S21="Resolved Hit",1,IF(S21="Resolved Miss",0,""))</x:f>
      </x:c>
      <x:c r="W21" s="54" t="str">
        <x:f>IF(OR(V21="",I21=""),"",((I21-V21)^2))</x:f>
      </x:c>
      <x:c r="X21" s="54"/>
      <x:c r="Y21" s="54" t="str">
        <x:f>IF(OR(V21="",X21=""),"",((X21-V21)^2))</x:f>
      </x:c>
      <x:c r="Z21" s="54" t="str">
        <x:f>IF(OR(W21="",Y21=""),"",Y21-W21)</x:f>
      </x:c>
      <x:c r="AC21" t="str">
        <x:f>IF(S21&lt;&gt;"Open","",IF(M21="","No deadline",IF(M21&lt;TODAY(),"OVERDUE",IF(M21&lt;=TODAY()+30,"Due ≤30d","Open"))))</x:f>
      </x:c>
      <x:c r="AF21" s="36"/>
    </x:row>
    <x:row r="22">
      <x:c r="G22" s="48"/>
      <x:c r="H22" s="36"/>
      <x:c r="I22" s="52"/>
      <x:c r="L22" s="50"/>
      <x:c r="M22" s="50"/>
      <x:c r="N22" s="36"/>
      <x:c r="O22" s="36"/>
      <x:c r="P22" s="36"/>
      <x:c r="Q22" s="36"/>
      <x:c r="R22" s="36"/>
      <x:c r="T22" s="50"/>
      <x:c r="U22" s="36"/>
      <x:c r="V22" t="str">
        <x:f>IF(S22="Resolved Hit",1,IF(S22="Resolved Miss",0,""))</x:f>
      </x:c>
      <x:c r="W22" s="54" t="str">
        <x:f>IF(OR(V22="",I22=""),"",((I22-V22)^2))</x:f>
      </x:c>
      <x:c r="X22" s="54"/>
      <x:c r="Y22" s="54" t="str">
        <x:f>IF(OR(V22="",X22=""),"",((X22-V22)^2))</x:f>
      </x:c>
      <x:c r="Z22" s="54" t="str">
        <x:f>IF(OR(W22="",Y22=""),"",Y22-W22)</x:f>
      </x:c>
      <x:c r="AC22" t="str">
        <x:f>IF(S22&lt;&gt;"Open","",IF(M22="","No deadline",IF(M22&lt;TODAY(),"OVERDUE",IF(M22&lt;=TODAY()+30,"Due ≤30d","Open"))))</x:f>
      </x:c>
      <x:c r="AF22" s="36"/>
    </x:row>
    <x:row r="23">
      <x:c r="G23" s="48"/>
      <x:c r="H23" s="36"/>
      <x:c r="I23" s="52"/>
      <x:c r="L23" s="50"/>
      <x:c r="M23" s="50"/>
      <x:c r="N23" s="36"/>
      <x:c r="O23" s="36"/>
      <x:c r="P23" s="36"/>
      <x:c r="Q23" s="36"/>
      <x:c r="R23" s="36"/>
      <x:c r="T23" s="50"/>
      <x:c r="U23" s="36"/>
      <x:c r="V23" t="str">
        <x:f>IF(S23="Resolved Hit",1,IF(S23="Resolved Miss",0,""))</x:f>
      </x:c>
      <x:c r="W23" s="54" t="str">
        <x:f>IF(OR(V23="",I23=""),"",((I23-V23)^2))</x:f>
      </x:c>
      <x:c r="X23" s="54"/>
      <x:c r="Y23" s="54" t="str">
        <x:f>IF(OR(V23="",X23=""),"",((X23-V23)^2))</x:f>
      </x:c>
      <x:c r="Z23" s="54" t="str">
        <x:f>IF(OR(W23="",Y23=""),"",Y23-W23)</x:f>
      </x:c>
      <x:c r="AC23" t="str">
        <x:f>IF(S23&lt;&gt;"Open","",IF(M23="","No deadline",IF(M23&lt;TODAY(),"OVERDUE",IF(M23&lt;=TODAY()+30,"Due ≤30d","Open"))))</x:f>
      </x:c>
      <x:c r="AF23" s="36"/>
    </x:row>
    <x:row r="24">
      <x:c r="G24" s="48"/>
      <x:c r="H24" s="36"/>
      <x:c r="I24" s="52"/>
      <x:c r="L24" s="50"/>
      <x:c r="M24" s="50"/>
      <x:c r="N24" s="36"/>
      <x:c r="O24" s="36"/>
      <x:c r="P24" s="36"/>
      <x:c r="Q24" s="36"/>
      <x:c r="R24" s="36"/>
      <x:c r="T24" s="50"/>
      <x:c r="U24" s="36"/>
      <x:c r="V24" t="str">
        <x:f>IF(S24="Resolved Hit",1,IF(S24="Resolved Miss",0,""))</x:f>
      </x:c>
      <x:c r="W24" s="54" t="str">
        <x:f>IF(OR(V24="",I24=""),"",((I24-V24)^2))</x:f>
      </x:c>
      <x:c r="X24" s="54"/>
      <x:c r="Y24" s="54" t="str">
        <x:f>IF(OR(V24="",X24=""),"",((X24-V24)^2))</x:f>
      </x:c>
      <x:c r="Z24" s="54" t="str">
        <x:f>IF(OR(W24="",Y24=""),"",Y24-W24)</x:f>
      </x:c>
      <x:c r="AC24" t="str">
        <x:f>IF(S24&lt;&gt;"Open","",IF(M24="","No deadline",IF(M24&lt;TODAY(),"OVERDUE",IF(M24&lt;=TODAY()+30,"Due ≤30d","Open"))))</x:f>
      </x:c>
      <x:c r="AF24" s="36"/>
    </x:row>
    <x:row r="25">
      <x:c r="G25" s="48"/>
      <x:c r="H25" s="36"/>
      <x:c r="I25" s="52"/>
      <x:c r="L25" s="50"/>
      <x:c r="M25" s="50"/>
      <x:c r="N25" s="36"/>
      <x:c r="O25" s="36"/>
      <x:c r="P25" s="36"/>
      <x:c r="Q25" s="36"/>
      <x:c r="R25" s="36"/>
      <x:c r="T25" s="50"/>
      <x:c r="U25" s="36"/>
      <x:c r="V25" t="str">
        <x:f>IF(S25="Resolved Hit",1,IF(S25="Resolved Miss",0,""))</x:f>
      </x:c>
      <x:c r="W25" s="54" t="str">
        <x:f>IF(OR(V25="",I25=""),"",((I25-V25)^2))</x:f>
      </x:c>
      <x:c r="X25" s="54"/>
      <x:c r="Y25" s="54" t="str">
        <x:f>IF(OR(V25="",X25=""),"",((X25-V25)^2))</x:f>
      </x:c>
      <x:c r="Z25" s="54" t="str">
        <x:f>IF(OR(W25="",Y25=""),"",Y25-W25)</x:f>
      </x:c>
      <x:c r="AC25" t="str">
        <x:f>IF(S25&lt;&gt;"Open","",IF(M25="","No deadline",IF(M25&lt;TODAY(),"OVERDUE",IF(M25&lt;=TODAY()+30,"Due ≤30d","Open"))))</x:f>
      </x:c>
      <x:c r="AF25" s="36"/>
    </x:row>
    <x:row r="26">
      <x:c r="G26" s="48"/>
      <x:c r="H26" s="36"/>
      <x:c r="I26" s="52"/>
      <x:c r="L26" s="50"/>
      <x:c r="M26" s="50"/>
      <x:c r="N26" s="36"/>
      <x:c r="O26" s="36"/>
      <x:c r="P26" s="36"/>
      <x:c r="Q26" s="36"/>
      <x:c r="R26" s="36"/>
      <x:c r="T26" s="50"/>
      <x:c r="U26" s="36"/>
      <x:c r="V26" t="str">
        <x:f>IF(S26="Resolved Hit",1,IF(S26="Resolved Miss",0,""))</x:f>
      </x:c>
      <x:c r="W26" s="54" t="str">
        <x:f>IF(OR(V26="",I26=""),"",((I26-V26)^2))</x:f>
      </x:c>
      <x:c r="X26" s="54"/>
      <x:c r="Y26" s="54" t="str">
        <x:f>IF(OR(V26="",X26=""),"",((X26-V26)^2))</x:f>
      </x:c>
      <x:c r="Z26" s="54" t="str">
        <x:f>IF(OR(W26="",Y26=""),"",Y26-W26)</x:f>
      </x:c>
      <x:c r="AC26" t="str">
        <x:f>IF(S26&lt;&gt;"Open","",IF(M26="","No deadline",IF(M26&lt;TODAY(),"OVERDUE",IF(M26&lt;=TODAY()+30,"Due ≤30d","Open"))))</x:f>
      </x:c>
      <x:c r="AF26" s="36"/>
    </x:row>
    <x:row r="27">
      <x:c r="G27" s="48"/>
      <x:c r="H27" s="36"/>
      <x:c r="I27" s="52"/>
      <x:c r="L27" s="50"/>
      <x:c r="M27" s="50"/>
      <x:c r="N27" s="36"/>
      <x:c r="O27" s="36"/>
      <x:c r="P27" s="36"/>
      <x:c r="Q27" s="36"/>
      <x:c r="R27" s="36"/>
      <x:c r="T27" s="50"/>
      <x:c r="U27" s="36"/>
      <x:c r="V27" t="str">
        <x:f>IF(S27="Resolved Hit",1,IF(S27="Resolved Miss",0,""))</x:f>
      </x:c>
      <x:c r="W27" s="54" t="str">
        <x:f>IF(OR(V27="",I27=""),"",((I27-V27)^2))</x:f>
      </x:c>
      <x:c r="X27" s="54"/>
      <x:c r="Y27" s="54" t="str">
        <x:f>IF(OR(V27="",X27=""),"",((X27-V27)^2))</x:f>
      </x:c>
      <x:c r="Z27" s="54" t="str">
        <x:f>IF(OR(W27="",Y27=""),"",Y27-W27)</x:f>
      </x:c>
      <x:c r="AC27" t="str">
        <x:f>IF(S27&lt;&gt;"Open","",IF(M27="","No deadline",IF(M27&lt;TODAY(),"OVERDUE",IF(M27&lt;=TODAY()+30,"Due ≤30d","Open"))))</x:f>
      </x:c>
      <x:c r="AF27" s="36"/>
    </x:row>
    <x:row r="28">
      <x:c r="G28" s="48"/>
      <x:c r="H28" s="36"/>
      <x:c r="I28" s="52"/>
      <x:c r="L28" s="50"/>
      <x:c r="M28" s="50"/>
      <x:c r="N28" s="36"/>
      <x:c r="O28" s="36"/>
      <x:c r="P28" s="36"/>
      <x:c r="Q28" s="36"/>
      <x:c r="R28" s="36"/>
      <x:c r="T28" s="50"/>
      <x:c r="U28" s="36"/>
      <x:c r="V28" t="str">
        <x:f>IF(S28="Resolved Hit",1,IF(S28="Resolved Miss",0,""))</x:f>
      </x:c>
      <x:c r="W28" s="54" t="str">
        <x:f>IF(OR(V28="",I28=""),"",((I28-V28)^2))</x:f>
      </x:c>
      <x:c r="X28" s="54"/>
      <x:c r="Y28" s="54" t="str">
        <x:f>IF(OR(V28="",X28=""),"",((X28-V28)^2))</x:f>
      </x:c>
      <x:c r="Z28" s="54" t="str">
        <x:f>IF(OR(W28="",Y28=""),"",Y28-W28)</x:f>
      </x:c>
      <x:c r="AC28" t="str">
        <x:f>IF(S28&lt;&gt;"Open","",IF(M28="","No deadline",IF(M28&lt;TODAY(),"OVERDUE",IF(M28&lt;=TODAY()+30,"Due ≤30d","Open"))))</x:f>
      </x:c>
      <x:c r="AF28" s="36"/>
    </x:row>
    <x:row r="29">
      <x:c r="G29" s="48"/>
      <x:c r="H29" s="36"/>
      <x:c r="I29" s="52"/>
      <x:c r="L29" s="50"/>
      <x:c r="M29" s="50"/>
      <x:c r="N29" s="36"/>
      <x:c r="O29" s="36"/>
      <x:c r="P29" s="36"/>
      <x:c r="Q29" s="36"/>
      <x:c r="R29" s="36"/>
      <x:c r="T29" s="50"/>
      <x:c r="U29" s="36"/>
      <x:c r="V29" t="str">
        <x:f>IF(S29="Resolved Hit",1,IF(S29="Resolved Miss",0,""))</x:f>
      </x:c>
      <x:c r="W29" s="54" t="str">
        <x:f>IF(OR(V29="",I29=""),"",((I29-V29)^2))</x:f>
      </x:c>
      <x:c r="X29" s="54"/>
      <x:c r="Y29" s="54" t="str">
        <x:f>IF(OR(V29="",X29=""),"",((X29-V29)^2))</x:f>
      </x:c>
      <x:c r="Z29" s="54" t="str">
        <x:f>IF(OR(W29="",Y29=""),"",Y29-W29)</x:f>
      </x:c>
      <x:c r="AC29" t="str">
        <x:f>IF(S29&lt;&gt;"Open","",IF(M29="","No deadline",IF(M29&lt;TODAY(),"OVERDUE",IF(M29&lt;=TODAY()+30,"Due ≤30d","Open"))))</x:f>
      </x:c>
      <x:c r="AF29" s="36"/>
    </x:row>
    <x:row r="30">
      <x:c r="G30" s="48"/>
      <x:c r="H30" s="36"/>
      <x:c r="I30" s="52"/>
      <x:c r="L30" s="50"/>
      <x:c r="M30" s="50"/>
      <x:c r="N30" s="36"/>
      <x:c r="O30" s="36"/>
      <x:c r="P30" s="36"/>
      <x:c r="Q30" s="36"/>
      <x:c r="R30" s="36"/>
      <x:c r="T30" s="50"/>
      <x:c r="U30" s="36"/>
      <x:c r="V30" t="str">
        <x:f>IF(S30="Resolved Hit",1,IF(S30="Resolved Miss",0,""))</x:f>
      </x:c>
      <x:c r="W30" s="54" t="str">
        <x:f>IF(OR(V30="",I30=""),"",((I30-V30)^2))</x:f>
      </x:c>
      <x:c r="X30" s="54"/>
      <x:c r="Y30" s="54" t="str">
        <x:f>IF(OR(V30="",X30=""),"",((X30-V30)^2))</x:f>
      </x:c>
      <x:c r="Z30" s="54" t="str">
        <x:f>IF(OR(W30="",Y30=""),"",Y30-W30)</x:f>
      </x:c>
      <x:c r="AC30" t="str">
        <x:f>IF(S30&lt;&gt;"Open","",IF(M30="","No deadline",IF(M30&lt;TODAY(),"OVERDUE",IF(M30&lt;=TODAY()+30,"Due ≤30d","Open"))))</x:f>
      </x:c>
      <x:c r="AF30" s="36"/>
    </x:row>
    <x:row r="31">
      <x:c r="G31" s="48"/>
      <x:c r="H31" s="36"/>
      <x:c r="I31" s="52"/>
      <x:c r="L31" s="50"/>
      <x:c r="M31" s="50"/>
      <x:c r="N31" s="36"/>
      <x:c r="O31" s="36"/>
      <x:c r="P31" s="36"/>
      <x:c r="Q31" s="36"/>
      <x:c r="R31" s="36"/>
      <x:c r="T31" s="50"/>
      <x:c r="U31" s="36"/>
      <x:c r="V31" t="str">
        <x:f>IF(S31="Resolved Hit",1,IF(S31="Resolved Miss",0,""))</x:f>
      </x:c>
      <x:c r="W31" s="54" t="str">
        <x:f>IF(OR(V31="",I31=""),"",((I31-V31)^2))</x:f>
      </x:c>
      <x:c r="X31" s="54"/>
      <x:c r="Y31" s="54" t="str">
        <x:f>IF(OR(V31="",X31=""),"",((X31-V31)^2))</x:f>
      </x:c>
      <x:c r="Z31" s="54" t="str">
        <x:f>IF(OR(W31="",Y31=""),"",Y31-W31)</x:f>
      </x:c>
      <x:c r="AC31" t="str">
        <x:f>IF(S31&lt;&gt;"Open","",IF(M31="","No deadline",IF(M31&lt;TODAY(),"OVERDUE",IF(M31&lt;=TODAY()+30,"Due ≤30d","Open"))))</x:f>
      </x:c>
      <x:c r="AF31" s="36"/>
    </x:row>
    <x:row r="32">
      <x:c r="G32" s="48"/>
      <x:c r="H32" s="36"/>
      <x:c r="I32" s="52"/>
      <x:c r="L32" s="50"/>
      <x:c r="M32" s="50"/>
      <x:c r="N32" s="36"/>
      <x:c r="O32" s="36"/>
      <x:c r="P32" s="36"/>
      <x:c r="Q32" s="36"/>
      <x:c r="R32" s="36"/>
      <x:c r="T32" s="50"/>
      <x:c r="U32" s="36"/>
      <x:c r="V32" t="str">
        <x:f>IF(S32="Resolved Hit",1,IF(S32="Resolved Miss",0,""))</x:f>
      </x:c>
      <x:c r="W32" s="54" t="str">
        <x:f>IF(OR(V32="",I32=""),"",((I32-V32)^2))</x:f>
      </x:c>
      <x:c r="X32" s="54"/>
      <x:c r="Y32" s="54" t="str">
        <x:f>IF(OR(V32="",X32=""),"",((X32-V32)^2))</x:f>
      </x:c>
      <x:c r="Z32" s="54" t="str">
        <x:f>IF(OR(W32="",Y32=""),"",Y32-W32)</x:f>
      </x:c>
      <x:c r="AC32" t="str">
        <x:f>IF(S32&lt;&gt;"Open","",IF(M32="","No deadline",IF(M32&lt;TODAY(),"OVERDUE",IF(M32&lt;=TODAY()+30,"Due ≤30d","Open"))))</x:f>
      </x:c>
      <x:c r="AF32" s="36"/>
    </x:row>
    <x:row r="33">
      <x:c r="G33" s="48"/>
      <x:c r="H33" s="36"/>
      <x:c r="I33" s="52"/>
      <x:c r="L33" s="50"/>
      <x:c r="M33" s="50"/>
      <x:c r="N33" s="36"/>
      <x:c r="O33" s="36"/>
      <x:c r="P33" s="36"/>
      <x:c r="Q33" s="36"/>
      <x:c r="R33" s="36"/>
      <x:c r="T33" s="50"/>
      <x:c r="U33" s="36"/>
      <x:c r="V33" t="str">
        <x:f>IF(S33="Resolved Hit",1,IF(S33="Resolved Miss",0,""))</x:f>
      </x:c>
      <x:c r="W33" s="54" t="str">
        <x:f>IF(OR(V33="",I33=""),"",((I33-V33)^2))</x:f>
      </x:c>
      <x:c r="X33" s="54"/>
      <x:c r="Y33" s="54" t="str">
        <x:f>IF(OR(V33="",X33=""),"",((X33-V33)^2))</x:f>
      </x:c>
      <x:c r="Z33" s="54" t="str">
        <x:f>IF(OR(W33="",Y33=""),"",Y33-W33)</x:f>
      </x:c>
      <x:c r="AC33" t="str">
        <x:f>IF(S33&lt;&gt;"Open","",IF(M33="","No deadline",IF(M33&lt;TODAY(),"OVERDUE",IF(M33&lt;=TODAY()+30,"Due ≤30d","Open"))))</x:f>
      </x:c>
      <x:c r="AF33" s="36"/>
    </x:row>
    <x:row r="34">
      <x:c r="G34" s="48"/>
      <x:c r="H34" s="36"/>
      <x:c r="I34" s="52"/>
      <x:c r="L34" s="50"/>
      <x:c r="M34" s="50"/>
      <x:c r="N34" s="36"/>
      <x:c r="O34" s="36"/>
      <x:c r="P34" s="36"/>
      <x:c r="Q34" s="36"/>
      <x:c r="R34" s="36"/>
      <x:c r="T34" s="50"/>
      <x:c r="U34" s="36"/>
      <x:c r="V34" t="str">
        <x:f>IF(S34="Resolved Hit",1,IF(S34="Resolved Miss",0,""))</x:f>
      </x:c>
      <x:c r="W34" s="54" t="str">
        <x:f>IF(OR(V34="",I34=""),"",((I34-V34)^2))</x:f>
      </x:c>
      <x:c r="X34" s="54"/>
      <x:c r="Y34" s="54" t="str">
        <x:f>IF(OR(V34="",X34=""),"",((X34-V34)^2))</x:f>
      </x:c>
      <x:c r="Z34" s="54" t="str">
        <x:f>IF(OR(W34="",Y34=""),"",Y34-W34)</x:f>
      </x:c>
      <x:c r="AC34" t="str">
        <x:f>IF(S34&lt;&gt;"Open","",IF(M34="","No deadline",IF(M34&lt;TODAY(),"OVERDUE",IF(M34&lt;=TODAY()+30,"Due ≤30d","Open"))))</x:f>
      </x:c>
      <x:c r="AF34" s="36"/>
    </x:row>
    <x:row r="35">
      <x:c r="G35" s="48"/>
      <x:c r="H35" s="36"/>
      <x:c r="I35" s="52"/>
      <x:c r="L35" s="50"/>
      <x:c r="M35" s="50"/>
      <x:c r="N35" s="36"/>
      <x:c r="O35" s="36"/>
      <x:c r="P35" s="36"/>
      <x:c r="Q35" s="36"/>
      <x:c r="R35" s="36"/>
      <x:c r="T35" s="50"/>
      <x:c r="U35" s="36"/>
      <x:c r="V35" t="str">
        <x:f>IF(S35="Resolved Hit",1,IF(S35="Resolved Miss",0,""))</x:f>
      </x:c>
      <x:c r="W35" s="54" t="str">
        <x:f>IF(OR(V35="",I35=""),"",((I35-V35)^2))</x:f>
      </x:c>
      <x:c r="X35" s="54"/>
      <x:c r="Y35" s="54" t="str">
        <x:f>IF(OR(V35="",X35=""),"",((X35-V35)^2))</x:f>
      </x:c>
      <x:c r="Z35" s="54" t="str">
        <x:f>IF(OR(W35="",Y35=""),"",Y35-W35)</x:f>
      </x:c>
      <x:c r="AC35" t="str">
        <x:f>IF(S35&lt;&gt;"Open","",IF(M35="","No deadline",IF(M35&lt;TODAY(),"OVERDUE",IF(M35&lt;=TODAY()+30,"Due ≤30d","Open"))))</x:f>
      </x:c>
      <x:c r="AF35" s="36"/>
    </x:row>
    <x:row r="36">
      <x:c r="G36" s="48"/>
      <x:c r="H36" s="36"/>
      <x:c r="I36" s="52"/>
      <x:c r="L36" s="50"/>
      <x:c r="M36" s="50"/>
      <x:c r="N36" s="36"/>
      <x:c r="O36" s="36"/>
      <x:c r="P36" s="36"/>
      <x:c r="Q36" s="36"/>
      <x:c r="R36" s="36"/>
      <x:c r="T36" s="50"/>
      <x:c r="U36" s="36"/>
      <x:c r="V36" t="str">
        <x:f>IF(S36="Resolved Hit",1,IF(S36="Resolved Miss",0,""))</x:f>
      </x:c>
      <x:c r="W36" s="54" t="str">
        <x:f>IF(OR(V36="",I36=""),"",((I36-V36)^2))</x:f>
      </x:c>
      <x:c r="X36" s="54"/>
      <x:c r="Y36" s="54" t="str">
        <x:f>IF(OR(V36="",X36=""),"",((X36-V36)^2))</x:f>
      </x:c>
      <x:c r="Z36" s="54" t="str">
        <x:f>IF(OR(W36="",Y36=""),"",Y36-W36)</x:f>
      </x:c>
      <x:c r="AC36" t="str">
        <x:f>IF(S36&lt;&gt;"Open","",IF(M36="","No deadline",IF(M36&lt;TODAY(),"OVERDUE",IF(M36&lt;=TODAY()+30,"Due ≤30d","Open"))))</x:f>
      </x:c>
      <x:c r="AF36" s="36"/>
    </x:row>
    <x:row r="37">
      <x:c r="G37" s="48"/>
      <x:c r="H37" s="36"/>
      <x:c r="I37" s="52"/>
      <x:c r="L37" s="50"/>
      <x:c r="M37" s="50"/>
      <x:c r="N37" s="36"/>
      <x:c r="O37" s="36"/>
      <x:c r="P37" s="36"/>
      <x:c r="Q37" s="36"/>
      <x:c r="R37" s="36"/>
      <x:c r="T37" s="50"/>
      <x:c r="U37" s="36"/>
      <x:c r="V37" t="str">
        <x:f>IF(S37="Resolved Hit",1,IF(S37="Resolved Miss",0,""))</x:f>
      </x:c>
      <x:c r="W37" s="54" t="str">
        <x:f>IF(OR(V37="",I37=""),"",((I37-V37)^2))</x:f>
      </x:c>
      <x:c r="X37" s="54"/>
      <x:c r="Y37" s="54" t="str">
        <x:f>IF(OR(V37="",X37=""),"",((X37-V37)^2))</x:f>
      </x:c>
      <x:c r="Z37" s="54" t="str">
        <x:f>IF(OR(W37="",Y37=""),"",Y37-W37)</x:f>
      </x:c>
      <x:c r="AC37" t="str">
        <x:f>IF(S37&lt;&gt;"Open","",IF(M37="","No deadline",IF(M37&lt;TODAY(),"OVERDUE",IF(M37&lt;=TODAY()+30,"Due ≤30d","Open"))))</x:f>
      </x:c>
      <x:c r="AF37" s="36"/>
    </x:row>
    <x:row r="38">
      <x:c r="G38" s="48"/>
      <x:c r="H38" s="36"/>
      <x:c r="I38" s="52"/>
      <x:c r="L38" s="50"/>
      <x:c r="M38" s="50"/>
      <x:c r="N38" s="36"/>
      <x:c r="O38" s="36"/>
      <x:c r="P38" s="36"/>
      <x:c r="Q38" s="36"/>
      <x:c r="R38" s="36"/>
      <x:c r="T38" s="50"/>
      <x:c r="U38" s="36"/>
      <x:c r="V38" t="str">
        <x:f>IF(S38="Resolved Hit",1,IF(S38="Resolved Miss",0,""))</x:f>
      </x:c>
      <x:c r="W38" s="54" t="str">
        <x:f>IF(OR(V38="",I38=""),"",((I38-V38)^2))</x:f>
      </x:c>
      <x:c r="X38" s="54"/>
      <x:c r="Y38" s="54" t="str">
        <x:f>IF(OR(V38="",X38=""),"",((X38-V38)^2))</x:f>
      </x:c>
      <x:c r="Z38" s="54" t="str">
        <x:f>IF(OR(W38="",Y38=""),"",Y38-W38)</x:f>
      </x:c>
      <x:c r="AC38" t="str">
        <x:f>IF(S38&lt;&gt;"Open","",IF(M38="","No deadline",IF(M38&lt;TODAY(),"OVERDUE",IF(M38&lt;=TODAY()+30,"Due ≤30d","Open"))))</x:f>
      </x:c>
      <x:c r="AF38" s="36"/>
    </x:row>
    <x:row r="39">
      <x:c r="G39" s="48"/>
      <x:c r="H39" s="36"/>
      <x:c r="I39" s="52"/>
      <x:c r="L39" s="50"/>
      <x:c r="M39" s="50"/>
      <x:c r="N39" s="36"/>
      <x:c r="O39" s="36"/>
      <x:c r="P39" s="36"/>
      <x:c r="Q39" s="36"/>
      <x:c r="R39" s="36"/>
      <x:c r="T39" s="50"/>
      <x:c r="U39" s="36"/>
      <x:c r="V39" t="str">
        <x:f>IF(S39="Resolved Hit",1,IF(S39="Resolved Miss",0,""))</x:f>
      </x:c>
      <x:c r="W39" s="54" t="str">
        <x:f>IF(OR(V39="",I39=""),"",((I39-V39)^2))</x:f>
      </x:c>
      <x:c r="X39" s="54"/>
      <x:c r="Y39" s="54" t="str">
        <x:f>IF(OR(V39="",X39=""),"",((X39-V39)^2))</x:f>
      </x:c>
      <x:c r="Z39" s="54" t="str">
        <x:f>IF(OR(W39="",Y39=""),"",Y39-W39)</x:f>
      </x:c>
      <x:c r="AC39" t="str">
        <x:f>IF(S39&lt;&gt;"Open","",IF(M39="","No deadline",IF(M39&lt;TODAY(),"OVERDUE",IF(M39&lt;=TODAY()+30,"Due ≤30d","Open"))))</x:f>
      </x:c>
      <x:c r="AF39" s="36"/>
    </x:row>
    <x:row r="40">
      <x:c r="G40" s="48"/>
      <x:c r="H40" s="36"/>
      <x:c r="I40" s="52"/>
      <x:c r="L40" s="50"/>
      <x:c r="M40" s="50"/>
      <x:c r="N40" s="36"/>
      <x:c r="O40" s="36"/>
      <x:c r="P40" s="36"/>
      <x:c r="Q40" s="36"/>
      <x:c r="R40" s="36"/>
      <x:c r="T40" s="50"/>
      <x:c r="U40" s="36"/>
      <x:c r="V40" t="str">
        <x:f>IF(S40="Resolved Hit",1,IF(S40="Resolved Miss",0,""))</x:f>
      </x:c>
      <x:c r="W40" s="54" t="str">
        <x:f>IF(OR(V40="",I40=""),"",((I40-V40)^2))</x:f>
      </x:c>
      <x:c r="X40" s="54"/>
      <x:c r="Y40" s="54" t="str">
        <x:f>IF(OR(V40="",X40=""),"",((X40-V40)^2))</x:f>
      </x:c>
      <x:c r="Z40" s="54" t="str">
        <x:f>IF(OR(W40="",Y40=""),"",Y40-W40)</x:f>
      </x:c>
      <x:c r="AC40" t="str">
        <x:f>IF(S40&lt;&gt;"Open","",IF(M40="","No deadline",IF(M40&lt;TODAY(),"OVERDUE",IF(M40&lt;=TODAY()+30,"Due ≤30d","Open"))))</x:f>
      </x:c>
      <x:c r="AF40" s="36"/>
    </x:row>
    <x:row r="41">
      <x:c r="G41" s="48"/>
      <x:c r="H41" s="36"/>
      <x:c r="I41" s="52"/>
      <x:c r="L41" s="50"/>
      <x:c r="M41" s="50"/>
      <x:c r="N41" s="36"/>
      <x:c r="O41" s="36"/>
      <x:c r="P41" s="36"/>
      <x:c r="Q41" s="36"/>
      <x:c r="R41" s="36"/>
      <x:c r="T41" s="50"/>
      <x:c r="U41" s="36"/>
      <x:c r="V41" t="str">
        <x:f>IF(S41="Resolved Hit",1,IF(S41="Resolved Miss",0,""))</x:f>
      </x:c>
      <x:c r="W41" s="54" t="str">
        <x:f>IF(OR(V41="",I41=""),"",((I41-V41)^2))</x:f>
      </x:c>
      <x:c r="X41" s="54"/>
      <x:c r="Y41" s="54" t="str">
        <x:f>IF(OR(V41="",X41=""),"",((X41-V41)^2))</x:f>
      </x:c>
      <x:c r="Z41" s="54" t="str">
        <x:f>IF(OR(W41="",Y41=""),"",Y41-W41)</x:f>
      </x:c>
      <x:c r="AC41" t="str">
        <x:f>IF(S41&lt;&gt;"Open","",IF(M41="","No deadline",IF(M41&lt;TODAY(),"OVERDUE",IF(M41&lt;=TODAY()+30,"Due ≤30d","Open"))))</x:f>
      </x:c>
      <x:c r="AF41" s="36"/>
    </x:row>
    <x:row r="42">
      <x:c r="G42" s="48"/>
      <x:c r="H42" s="36"/>
      <x:c r="I42" s="52"/>
      <x:c r="L42" s="50"/>
      <x:c r="M42" s="50"/>
      <x:c r="N42" s="36"/>
      <x:c r="O42" s="36"/>
      <x:c r="P42" s="36"/>
      <x:c r="Q42" s="36"/>
      <x:c r="R42" s="36"/>
      <x:c r="T42" s="50"/>
      <x:c r="U42" s="36"/>
      <x:c r="V42" t="str">
        <x:f>IF(S42="Resolved Hit",1,IF(S42="Resolved Miss",0,""))</x:f>
      </x:c>
      <x:c r="W42" s="54" t="str">
        <x:f>IF(OR(V42="",I42=""),"",((I42-V42)^2))</x:f>
      </x:c>
      <x:c r="X42" s="54"/>
      <x:c r="Y42" s="54" t="str">
        <x:f>IF(OR(V42="",X42=""),"",((X42-V42)^2))</x:f>
      </x:c>
      <x:c r="Z42" s="54" t="str">
        <x:f>IF(OR(W42="",Y42=""),"",Y42-W42)</x:f>
      </x:c>
      <x:c r="AC42" t="str">
        <x:f>IF(S42&lt;&gt;"Open","",IF(M42="","No deadline",IF(M42&lt;TODAY(),"OVERDUE",IF(M42&lt;=TODAY()+30,"Due ≤30d","Open"))))</x:f>
      </x:c>
      <x:c r="AF42" s="36"/>
    </x:row>
    <x:row r="43">
      <x:c r="G43" s="48"/>
      <x:c r="H43" s="36"/>
      <x:c r="I43" s="52"/>
      <x:c r="L43" s="50"/>
      <x:c r="M43" s="50"/>
      <x:c r="N43" s="36"/>
      <x:c r="O43" s="36"/>
      <x:c r="P43" s="36"/>
      <x:c r="Q43" s="36"/>
      <x:c r="R43" s="36"/>
      <x:c r="T43" s="50"/>
      <x:c r="U43" s="36"/>
      <x:c r="V43" t="str">
        <x:f>IF(S43="Resolved Hit",1,IF(S43="Resolved Miss",0,""))</x:f>
      </x:c>
      <x:c r="W43" s="54" t="str">
        <x:f>IF(OR(V43="",I43=""),"",((I43-V43)^2))</x:f>
      </x:c>
      <x:c r="X43" s="54"/>
      <x:c r="Y43" s="54" t="str">
        <x:f>IF(OR(V43="",X43=""),"",((X43-V43)^2))</x:f>
      </x:c>
      <x:c r="Z43" s="54" t="str">
        <x:f>IF(OR(W43="",Y43=""),"",Y43-W43)</x:f>
      </x:c>
      <x:c r="AC43" t="str">
        <x:f>IF(S43&lt;&gt;"Open","",IF(M43="","No deadline",IF(M43&lt;TODAY(),"OVERDUE",IF(M43&lt;=TODAY()+30,"Due ≤30d","Open"))))</x:f>
      </x:c>
      <x:c r="AF43" s="36"/>
    </x:row>
    <x:row r="44">
      <x:c r="G44" s="48"/>
      <x:c r="H44" s="36"/>
      <x:c r="I44" s="52"/>
      <x:c r="L44" s="50"/>
      <x:c r="M44" s="50"/>
      <x:c r="N44" s="36"/>
      <x:c r="O44" s="36"/>
      <x:c r="P44" s="36"/>
      <x:c r="Q44" s="36"/>
      <x:c r="R44" s="36"/>
      <x:c r="T44" s="50"/>
      <x:c r="U44" s="36"/>
      <x:c r="V44" t="str">
        <x:f>IF(S44="Resolved Hit",1,IF(S44="Resolved Miss",0,""))</x:f>
      </x:c>
      <x:c r="W44" s="54" t="str">
        <x:f>IF(OR(V44="",I44=""),"",((I44-V44)^2))</x:f>
      </x:c>
      <x:c r="X44" s="54"/>
      <x:c r="Y44" s="54" t="str">
        <x:f>IF(OR(V44="",X44=""),"",((X44-V44)^2))</x:f>
      </x:c>
      <x:c r="Z44" s="54" t="str">
        <x:f>IF(OR(W44="",Y44=""),"",Y44-W44)</x:f>
      </x:c>
      <x:c r="AC44" t="str">
        <x:f>IF(S44&lt;&gt;"Open","",IF(M44="","No deadline",IF(M44&lt;TODAY(),"OVERDUE",IF(M44&lt;=TODAY()+30,"Due ≤30d","Open"))))</x:f>
      </x:c>
      <x:c r="AF44" s="36"/>
    </x:row>
    <x:row r="45">
      <x:c r="G45" s="48"/>
      <x:c r="H45" s="36"/>
      <x:c r="I45" s="52"/>
      <x:c r="L45" s="50"/>
      <x:c r="M45" s="50"/>
      <x:c r="N45" s="36"/>
      <x:c r="O45" s="36"/>
      <x:c r="P45" s="36"/>
      <x:c r="Q45" s="36"/>
      <x:c r="R45" s="36"/>
      <x:c r="T45" s="50"/>
      <x:c r="U45" s="36"/>
      <x:c r="V45" t="str">
        <x:f>IF(S45="Resolved Hit",1,IF(S45="Resolved Miss",0,""))</x:f>
      </x:c>
      <x:c r="W45" s="54" t="str">
        <x:f>IF(OR(V45="",I45=""),"",((I45-V45)^2))</x:f>
      </x:c>
      <x:c r="X45" s="54"/>
      <x:c r="Y45" s="54" t="str">
        <x:f>IF(OR(V45="",X45=""),"",((X45-V45)^2))</x:f>
      </x:c>
      <x:c r="Z45" s="54" t="str">
        <x:f>IF(OR(W45="",Y45=""),"",Y45-W45)</x:f>
      </x:c>
      <x:c r="AC45" t="str">
        <x:f>IF(S45&lt;&gt;"Open","",IF(M45="","No deadline",IF(M45&lt;TODAY(),"OVERDUE",IF(M45&lt;=TODAY()+30,"Due ≤30d","Open"))))</x:f>
      </x:c>
      <x:c r="AF45" s="36"/>
    </x:row>
    <x:row r="46">
      <x:c r="G46" s="48"/>
      <x:c r="H46" s="36"/>
      <x:c r="I46" s="52"/>
      <x:c r="L46" s="50"/>
      <x:c r="M46" s="50"/>
      <x:c r="N46" s="36"/>
      <x:c r="O46" s="36"/>
      <x:c r="P46" s="36"/>
      <x:c r="Q46" s="36"/>
      <x:c r="R46" s="36"/>
      <x:c r="T46" s="50"/>
      <x:c r="U46" s="36"/>
      <x:c r="V46" t="str">
        <x:f>IF(S46="Resolved Hit",1,IF(S46="Resolved Miss",0,""))</x:f>
      </x:c>
      <x:c r="W46" s="54" t="str">
        <x:f>IF(OR(V46="",I46=""),"",((I46-V46)^2))</x:f>
      </x:c>
      <x:c r="X46" s="54"/>
      <x:c r="Y46" s="54" t="str">
        <x:f>IF(OR(V46="",X46=""),"",((X46-V46)^2))</x:f>
      </x:c>
      <x:c r="Z46" s="54" t="str">
        <x:f>IF(OR(W46="",Y46=""),"",Y46-W46)</x:f>
      </x:c>
      <x:c r="AC46" t="str">
        <x:f>IF(S46&lt;&gt;"Open","",IF(M46="","No deadline",IF(M46&lt;TODAY(),"OVERDUE",IF(M46&lt;=TODAY()+30,"Due ≤30d","Open"))))</x:f>
      </x:c>
      <x:c r="AF46" s="36"/>
    </x:row>
    <x:row r="47">
      <x:c r="G47" s="48"/>
      <x:c r="H47" s="36"/>
      <x:c r="I47" s="52"/>
      <x:c r="L47" s="50"/>
      <x:c r="M47" s="50"/>
      <x:c r="N47" s="36"/>
      <x:c r="O47" s="36"/>
      <x:c r="P47" s="36"/>
      <x:c r="Q47" s="36"/>
      <x:c r="R47" s="36"/>
      <x:c r="T47" s="50"/>
      <x:c r="U47" s="36"/>
      <x:c r="V47" t="str">
        <x:f>IF(S47="Resolved Hit",1,IF(S47="Resolved Miss",0,""))</x:f>
      </x:c>
      <x:c r="W47" s="54" t="str">
        <x:f>IF(OR(V47="",I47=""),"",((I47-V47)^2))</x:f>
      </x:c>
      <x:c r="X47" s="54"/>
      <x:c r="Y47" s="54" t="str">
        <x:f>IF(OR(V47="",X47=""),"",((X47-V47)^2))</x:f>
      </x:c>
      <x:c r="Z47" s="54" t="str">
        <x:f>IF(OR(W47="",Y47=""),"",Y47-W47)</x:f>
      </x:c>
      <x:c r="AC47" t="str">
        <x:f>IF(S47&lt;&gt;"Open","",IF(M47="","No deadline",IF(M47&lt;TODAY(),"OVERDUE",IF(M47&lt;=TODAY()+30,"Due ≤30d","Open"))))</x:f>
      </x:c>
      <x:c r="AF47" s="36"/>
    </x:row>
    <x:row r="48">
      <x:c r="G48" s="48"/>
      <x:c r="H48" s="36"/>
      <x:c r="I48" s="52"/>
      <x:c r="L48" s="50"/>
      <x:c r="M48" s="50"/>
      <x:c r="N48" s="36"/>
      <x:c r="O48" s="36"/>
      <x:c r="P48" s="36"/>
      <x:c r="Q48" s="36"/>
      <x:c r="R48" s="36"/>
      <x:c r="T48" s="50"/>
      <x:c r="U48" s="36"/>
      <x:c r="V48" t="str">
        <x:f>IF(S48="Resolved Hit",1,IF(S48="Resolved Miss",0,""))</x:f>
      </x:c>
      <x:c r="W48" s="54" t="str">
        <x:f>IF(OR(V48="",I48=""),"",((I48-V48)^2))</x:f>
      </x:c>
      <x:c r="X48" s="54"/>
      <x:c r="Y48" s="54" t="str">
        <x:f>IF(OR(V48="",X48=""),"",((X48-V48)^2))</x:f>
      </x:c>
      <x:c r="Z48" s="54" t="str">
        <x:f>IF(OR(W48="",Y48=""),"",Y48-W48)</x:f>
      </x:c>
      <x:c r="AC48" t="str">
        <x:f>IF(S48&lt;&gt;"Open","",IF(M48="","No deadline",IF(M48&lt;TODAY(),"OVERDUE",IF(M48&lt;=TODAY()+30,"Due ≤30d","Open"))))</x:f>
      </x:c>
      <x:c r="AF48" s="36"/>
    </x:row>
    <x:row r="49">
      <x:c r="G49" s="48"/>
      <x:c r="H49" s="36"/>
      <x:c r="I49" s="52"/>
      <x:c r="L49" s="50"/>
      <x:c r="M49" s="50"/>
      <x:c r="N49" s="36"/>
      <x:c r="O49" s="36"/>
      <x:c r="P49" s="36"/>
      <x:c r="Q49" s="36"/>
      <x:c r="R49" s="36"/>
      <x:c r="T49" s="50"/>
      <x:c r="U49" s="36"/>
      <x:c r="V49" t="str">
        <x:f>IF(S49="Resolved Hit",1,IF(S49="Resolved Miss",0,""))</x:f>
      </x:c>
      <x:c r="W49" s="54" t="str">
        <x:f>IF(OR(V49="",I49=""),"",((I49-V49)^2))</x:f>
      </x:c>
      <x:c r="X49" s="54"/>
      <x:c r="Y49" s="54" t="str">
        <x:f>IF(OR(V49="",X49=""),"",((X49-V49)^2))</x:f>
      </x:c>
      <x:c r="Z49" s="54" t="str">
        <x:f>IF(OR(W49="",Y49=""),"",Y49-W49)</x:f>
      </x:c>
      <x:c r="AC49" t="str">
        <x:f>IF(S49&lt;&gt;"Open","",IF(M49="","No deadline",IF(M49&lt;TODAY(),"OVERDUE",IF(M49&lt;=TODAY()+30,"Due ≤30d","Open"))))</x:f>
      </x:c>
      <x:c r="AF49" s="36"/>
    </x:row>
    <x:row r="50">
      <x:c r="G50" s="48"/>
      <x:c r="H50" s="36"/>
      <x:c r="I50" s="52"/>
      <x:c r="L50" s="50"/>
      <x:c r="M50" s="50"/>
      <x:c r="N50" s="36"/>
      <x:c r="O50" s="36"/>
      <x:c r="P50" s="36"/>
      <x:c r="Q50" s="36"/>
      <x:c r="R50" s="36"/>
      <x:c r="T50" s="50"/>
      <x:c r="U50" s="36"/>
      <x:c r="V50" t="str">
        <x:f>IF(S50="Resolved Hit",1,IF(S50="Resolved Miss",0,""))</x:f>
      </x:c>
      <x:c r="W50" s="54" t="str">
        <x:f>IF(OR(V50="",I50=""),"",((I50-V50)^2))</x:f>
      </x:c>
      <x:c r="X50" s="54"/>
      <x:c r="Y50" s="54" t="str">
        <x:f>IF(OR(V50="",X50=""),"",((X50-V50)^2))</x:f>
      </x:c>
      <x:c r="Z50" s="54" t="str">
        <x:f>IF(OR(W50="",Y50=""),"",Y50-W50)</x:f>
      </x:c>
      <x:c r="AC50" t="str">
        <x:f>IF(S50&lt;&gt;"Open","",IF(M50="","No deadline",IF(M50&lt;TODAY(),"OVERDUE",IF(M50&lt;=TODAY()+30,"Due ≤30d","Open"))))</x:f>
      </x:c>
      <x:c r="AF50" s="36"/>
    </x:row>
    <x:row r="51">
      <x:c r="G51" s="48"/>
      <x:c r="H51" s="36"/>
      <x:c r="I51" s="52"/>
      <x:c r="L51" s="50"/>
      <x:c r="M51" s="50"/>
      <x:c r="N51" s="36"/>
      <x:c r="O51" s="36"/>
      <x:c r="P51" s="36"/>
      <x:c r="Q51" s="36"/>
      <x:c r="R51" s="36"/>
      <x:c r="T51" s="50"/>
      <x:c r="U51" s="36"/>
      <x:c r="V51" t="str">
        <x:f>IF(S51="Resolved Hit",1,IF(S51="Resolved Miss",0,""))</x:f>
      </x:c>
      <x:c r="W51" s="54" t="str">
        <x:f>IF(OR(V51="",I51=""),"",((I51-V51)^2))</x:f>
      </x:c>
      <x:c r="X51" s="54"/>
      <x:c r="Y51" s="54" t="str">
        <x:f>IF(OR(V51="",X51=""),"",((X51-V51)^2))</x:f>
      </x:c>
      <x:c r="Z51" s="54" t="str">
        <x:f>IF(OR(W51="",Y51=""),"",Y51-W51)</x:f>
      </x:c>
      <x:c r="AC51" t="str">
        <x:f>IF(S51&lt;&gt;"Open","",IF(M51="","No deadline",IF(M51&lt;TODAY(),"OVERDUE",IF(M51&lt;=TODAY()+30,"Due ≤30d","Open"))))</x:f>
      </x:c>
      <x:c r="AF51" s="36"/>
    </x:row>
    <x:row r="52">
      <x:c r="G52" s="48"/>
      <x:c r="H52" s="36"/>
      <x:c r="I52" s="52"/>
      <x:c r="L52" s="50"/>
      <x:c r="M52" s="50"/>
      <x:c r="N52" s="36"/>
      <x:c r="O52" s="36"/>
      <x:c r="P52" s="36"/>
      <x:c r="Q52" s="36"/>
      <x:c r="R52" s="36"/>
      <x:c r="T52" s="50"/>
      <x:c r="U52" s="36"/>
      <x:c r="V52" t="str">
        <x:f>IF(S52="Resolved Hit",1,IF(S52="Resolved Miss",0,""))</x:f>
      </x:c>
      <x:c r="W52" s="54" t="str">
        <x:f>IF(OR(V52="",I52=""),"",((I52-V52)^2))</x:f>
      </x:c>
      <x:c r="X52" s="54"/>
      <x:c r="Y52" s="54" t="str">
        <x:f>IF(OR(V52="",X52=""),"",((X52-V52)^2))</x:f>
      </x:c>
      <x:c r="Z52" s="54" t="str">
        <x:f>IF(OR(W52="",Y52=""),"",Y52-W52)</x:f>
      </x:c>
      <x:c r="AC52" t="str">
        <x:f>IF(S52&lt;&gt;"Open","",IF(M52="","No deadline",IF(M52&lt;TODAY(),"OVERDUE",IF(M52&lt;=TODAY()+30,"Due ≤30d","Open"))))</x:f>
      </x:c>
      <x:c r="AF52" s="36"/>
    </x:row>
    <x:row r="53">
      <x:c r="G53" s="48"/>
      <x:c r="H53" s="36"/>
      <x:c r="I53" s="52"/>
      <x:c r="L53" s="50"/>
      <x:c r="M53" s="50"/>
      <x:c r="N53" s="36"/>
      <x:c r="O53" s="36"/>
      <x:c r="P53" s="36"/>
      <x:c r="Q53" s="36"/>
      <x:c r="R53" s="36"/>
      <x:c r="T53" s="50"/>
      <x:c r="U53" s="36"/>
      <x:c r="V53" t="str">
        <x:f>IF(S53="Resolved Hit",1,IF(S53="Resolved Miss",0,""))</x:f>
      </x:c>
      <x:c r="W53" s="54" t="str">
        <x:f>IF(OR(V53="",I53=""),"",((I53-V53)^2))</x:f>
      </x:c>
      <x:c r="X53" s="54"/>
      <x:c r="Y53" s="54" t="str">
        <x:f>IF(OR(V53="",X53=""),"",((X53-V53)^2))</x:f>
      </x:c>
      <x:c r="Z53" s="54" t="str">
        <x:f>IF(OR(W53="",Y53=""),"",Y53-W53)</x:f>
      </x:c>
      <x:c r="AC53" t="str">
        <x:f>IF(S53&lt;&gt;"Open","",IF(M53="","No deadline",IF(M53&lt;TODAY(),"OVERDUE",IF(M53&lt;=TODAY()+30,"Due ≤30d","Open"))))</x:f>
      </x:c>
      <x:c r="AF53" s="36"/>
    </x:row>
    <x:row r="54">
      <x:c r="G54" s="48"/>
      <x:c r="H54" s="36"/>
      <x:c r="I54" s="52"/>
      <x:c r="L54" s="50"/>
      <x:c r="M54" s="50"/>
      <x:c r="N54" s="36"/>
      <x:c r="O54" s="36"/>
      <x:c r="P54" s="36"/>
      <x:c r="Q54" s="36"/>
      <x:c r="R54" s="36"/>
      <x:c r="T54" s="50"/>
      <x:c r="U54" s="36"/>
      <x:c r="V54" t="str">
        <x:f>IF(S54="Resolved Hit",1,IF(S54="Resolved Miss",0,""))</x:f>
      </x:c>
      <x:c r="W54" s="54" t="str">
        <x:f>IF(OR(V54="",I54=""),"",((I54-V54)^2))</x:f>
      </x:c>
      <x:c r="X54" s="54"/>
      <x:c r="Y54" s="54" t="str">
        <x:f>IF(OR(V54="",X54=""),"",((X54-V54)^2))</x:f>
      </x:c>
      <x:c r="Z54" s="54" t="str">
        <x:f>IF(OR(W54="",Y54=""),"",Y54-W54)</x:f>
      </x:c>
      <x:c r="AC54" t="str">
        <x:f>IF(S54&lt;&gt;"Open","",IF(M54="","No deadline",IF(M54&lt;TODAY(),"OVERDUE",IF(M54&lt;=TODAY()+30,"Due ≤30d","Open"))))</x:f>
      </x:c>
      <x:c r="AF54" s="36"/>
    </x:row>
    <x:row r="55">
      <x:c r="G55" s="48"/>
      <x:c r="H55" s="36"/>
      <x:c r="I55" s="52"/>
      <x:c r="L55" s="50"/>
      <x:c r="M55" s="50"/>
      <x:c r="N55" s="36"/>
      <x:c r="O55" s="36"/>
      <x:c r="P55" s="36"/>
      <x:c r="Q55" s="36"/>
      <x:c r="R55" s="36"/>
      <x:c r="T55" s="50"/>
      <x:c r="U55" s="36"/>
      <x:c r="V55" t="str">
        <x:f>IF(S55="Resolved Hit",1,IF(S55="Resolved Miss",0,""))</x:f>
      </x:c>
      <x:c r="W55" s="54" t="str">
        <x:f>IF(OR(V55="",I55=""),"",((I55-V55)^2))</x:f>
      </x:c>
      <x:c r="X55" s="54"/>
      <x:c r="Y55" s="54" t="str">
        <x:f>IF(OR(V55="",X55=""),"",((X55-V55)^2))</x:f>
      </x:c>
      <x:c r="Z55" s="54" t="str">
        <x:f>IF(OR(W55="",Y55=""),"",Y55-W55)</x:f>
      </x:c>
      <x:c r="AC55" t="str">
        <x:f>IF(S55&lt;&gt;"Open","",IF(M55="","No deadline",IF(M55&lt;TODAY(),"OVERDUE",IF(M55&lt;=TODAY()+30,"Due ≤30d","Open"))))</x:f>
      </x:c>
      <x:c r="AF55" s="36"/>
    </x:row>
    <x:row r="56">
      <x:c r="G56" s="48"/>
      <x:c r="H56" s="36"/>
      <x:c r="I56" s="52"/>
      <x:c r="L56" s="50"/>
      <x:c r="M56" s="50"/>
      <x:c r="N56" s="36"/>
      <x:c r="O56" s="36"/>
      <x:c r="P56" s="36"/>
      <x:c r="Q56" s="36"/>
      <x:c r="R56" s="36"/>
      <x:c r="T56" s="50"/>
      <x:c r="U56" s="36"/>
      <x:c r="V56" t="str">
        <x:f>IF(S56="Resolved Hit",1,IF(S56="Resolved Miss",0,""))</x:f>
      </x:c>
      <x:c r="W56" s="54" t="str">
        <x:f>IF(OR(V56="",I56=""),"",((I56-V56)^2))</x:f>
      </x:c>
      <x:c r="X56" s="54"/>
      <x:c r="Y56" s="54" t="str">
        <x:f>IF(OR(V56="",X56=""),"",((X56-V56)^2))</x:f>
      </x:c>
      <x:c r="Z56" s="54" t="str">
        <x:f>IF(OR(W56="",Y56=""),"",Y56-W56)</x:f>
      </x:c>
      <x:c r="AC56" t="str">
        <x:f>IF(S56&lt;&gt;"Open","",IF(M56="","No deadline",IF(M56&lt;TODAY(),"OVERDUE",IF(M56&lt;=TODAY()+30,"Due ≤30d","Open"))))</x:f>
      </x:c>
      <x:c r="AF56" s="36"/>
    </x:row>
    <x:row r="57">
      <x:c r="G57" s="48"/>
      <x:c r="H57" s="36"/>
      <x:c r="I57" s="52"/>
      <x:c r="L57" s="50"/>
      <x:c r="M57" s="50"/>
      <x:c r="N57" s="36"/>
      <x:c r="O57" s="36"/>
      <x:c r="P57" s="36"/>
      <x:c r="Q57" s="36"/>
      <x:c r="R57" s="36"/>
      <x:c r="T57" s="50"/>
      <x:c r="U57" s="36"/>
      <x:c r="V57" t="str">
        <x:f>IF(S57="Resolved Hit",1,IF(S57="Resolved Miss",0,""))</x:f>
      </x:c>
      <x:c r="W57" s="54" t="str">
        <x:f>IF(OR(V57="",I57=""),"",((I57-V57)^2))</x:f>
      </x:c>
      <x:c r="X57" s="54"/>
      <x:c r="Y57" s="54" t="str">
        <x:f>IF(OR(V57="",X57=""),"",((X57-V57)^2))</x:f>
      </x:c>
      <x:c r="Z57" s="54" t="str">
        <x:f>IF(OR(W57="",Y57=""),"",Y57-W57)</x:f>
      </x:c>
      <x:c r="AC57" t="str">
        <x:f>IF(S57&lt;&gt;"Open","",IF(M57="","No deadline",IF(M57&lt;TODAY(),"OVERDUE",IF(M57&lt;=TODAY()+30,"Due ≤30d","Open"))))</x:f>
      </x:c>
      <x:c r="AF57" s="36"/>
    </x:row>
    <x:row r="58">
      <x:c r="G58" s="48"/>
      <x:c r="H58" s="36"/>
      <x:c r="I58" s="52"/>
      <x:c r="L58" s="50"/>
      <x:c r="M58" s="50"/>
      <x:c r="N58" s="36"/>
      <x:c r="O58" s="36"/>
      <x:c r="P58" s="36"/>
      <x:c r="Q58" s="36"/>
      <x:c r="R58" s="36"/>
      <x:c r="T58" s="50"/>
      <x:c r="U58" s="36"/>
      <x:c r="V58" t="str">
        <x:f>IF(S58="Resolved Hit",1,IF(S58="Resolved Miss",0,""))</x:f>
      </x:c>
      <x:c r="W58" s="54" t="str">
        <x:f>IF(OR(V58="",I58=""),"",((I58-V58)^2))</x:f>
      </x:c>
      <x:c r="X58" s="54"/>
      <x:c r="Y58" s="54" t="str">
        <x:f>IF(OR(V58="",X58=""),"",((X58-V58)^2))</x:f>
      </x:c>
      <x:c r="Z58" s="54" t="str">
        <x:f>IF(OR(W58="",Y58=""),"",Y58-W58)</x:f>
      </x:c>
      <x:c r="AC58" t="str">
        <x:f>IF(S58&lt;&gt;"Open","",IF(M58="","No deadline",IF(M58&lt;TODAY(),"OVERDUE",IF(M58&lt;=TODAY()+30,"Due ≤30d","Open"))))</x:f>
      </x:c>
      <x:c r="AF58" s="36"/>
    </x:row>
    <x:row r="59">
      <x:c r="G59" s="48"/>
      <x:c r="H59" s="36"/>
      <x:c r="I59" s="52"/>
      <x:c r="L59" s="50"/>
      <x:c r="M59" s="50"/>
      <x:c r="N59" s="36"/>
      <x:c r="O59" s="36"/>
      <x:c r="P59" s="36"/>
      <x:c r="Q59" s="36"/>
      <x:c r="R59" s="36"/>
      <x:c r="T59" s="50"/>
      <x:c r="U59" s="36"/>
      <x:c r="V59" t="str">
        <x:f>IF(S59="Resolved Hit",1,IF(S59="Resolved Miss",0,""))</x:f>
      </x:c>
      <x:c r="W59" s="54" t="str">
        <x:f>IF(OR(V59="",I59=""),"",((I59-V59)^2))</x:f>
      </x:c>
      <x:c r="X59" s="54"/>
      <x:c r="Y59" s="54" t="str">
        <x:f>IF(OR(V59="",X59=""),"",((X59-V59)^2))</x:f>
      </x:c>
      <x:c r="Z59" s="54" t="str">
        <x:f>IF(OR(W59="",Y59=""),"",Y59-W59)</x:f>
      </x:c>
      <x:c r="AC59" t="str">
        <x:f>IF(S59&lt;&gt;"Open","",IF(M59="","No deadline",IF(M59&lt;TODAY(),"OVERDUE",IF(M59&lt;=TODAY()+30,"Due ≤30d","Open"))))</x:f>
      </x:c>
      <x:c r="AF59" s="36"/>
    </x:row>
    <x:row r="60">
      <x:c r="G60" s="48"/>
      <x:c r="H60" s="36"/>
      <x:c r="I60" s="52"/>
      <x:c r="L60" s="50"/>
      <x:c r="M60" s="50"/>
      <x:c r="N60" s="36"/>
      <x:c r="O60" s="36"/>
      <x:c r="P60" s="36"/>
      <x:c r="Q60" s="36"/>
      <x:c r="R60" s="36"/>
      <x:c r="T60" s="50"/>
      <x:c r="U60" s="36"/>
      <x:c r="V60" t="str">
        <x:f>IF(S60="Resolved Hit",1,IF(S60="Resolved Miss",0,""))</x:f>
      </x:c>
      <x:c r="W60" s="54" t="str">
        <x:f>IF(OR(V60="",I60=""),"",((I60-V60)^2))</x:f>
      </x:c>
      <x:c r="X60" s="54"/>
      <x:c r="Y60" s="54" t="str">
        <x:f>IF(OR(V60="",X60=""),"",((X60-V60)^2))</x:f>
      </x:c>
      <x:c r="Z60" s="54" t="str">
        <x:f>IF(OR(W60="",Y60=""),"",Y60-W60)</x:f>
      </x:c>
      <x:c r="AC60" t="str">
        <x:f>IF(S60&lt;&gt;"Open","",IF(M60="","No deadline",IF(M60&lt;TODAY(),"OVERDUE",IF(M60&lt;=TODAY()+30,"Due ≤30d","Open"))))</x:f>
      </x:c>
      <x:c r="AF60" s="36"/>
    </x:row>
    <x:row r="61">
      <x:c r="G61" s="48"/>
      <x:c r="H61" s="36"/>
      <x:c r="I61" s="52"/>
      <x:c r="L61" s="50"/>
      <x:c r="M61" s="50"/>
      <x:c r="N61" s="36"/>
      <x:c r="O61" s="36"/>
      <x:c r="P61" s="36"/>
      <x:c r="Q61" s="36"/>
      <x:c r="R61" s="36"/>
      <x:c r="T61" s="50"/>
      <x:c r="U61" s="36"/>
      <x:c r="V61" t="str">
        <x:f>IF(S61="Resolved Hit",1,IF(S61="Resolved Miss",0,""))</x:f>
      </x:c>
      <x:c r="W61" s="54" t="str">
        <x:f>IF(OR(V61="",I61=""),"",((I61-V61)^2))</x:f>
      </x:c>
      <x:c r="X61" s="54"/>
      <x:c r="Y61" s="54" t="str">
        <x:f>IF(OR(V61="",X61=""),"",((X61-V61)^2))</x:f>
      </x:c>
      <x:c r="Z61" s="54" t="str">
        <x:f>IF(OR(W61="",Y61=""),"",Y61-W61)</x:f>
      </x:c>
      <x:c r="AC61" t="str">
        <x:f>IF(S61&lt;&gt;"Open","",IF(M61="","No deadline",IF(M61&lt;TODAY(),"OVERDUE",IF(M61&lt;=TODAY()+30,"Due ≤30d","Open"))))</x:f>
      </x:c>
      <x:c r="AF61" s="36"/>
    </x:row>
    <x:row r="62">
      <x:c r="G62" s="48"/>
      <x:c r="H62" s="36"/>
      <x:c r="I62" s="52"/>
      <x:c r="L62" s="50"/>
      <x:c r="M62" s="50"/>
      <x:c r="N62" s="36"/>
      <x:c r="O62" s="36"/>
      <x:c r="P62" s="36"/>
      <x:c r="Q62" s="36"/>
      <x:c r="R62" s="36"/>
      <x:c r="T62" s="50"/>
      <x:c r="U62" s="36"/>
      <x:c r="V62" t="str">
        <x:f>IF(S62="Resolved Hit",1,IF(S62="Resolved Miss",0,""))</x:f>
      </x:c>
      <x:c r="W62" s="54" t="str">
        <x:f>IF(OR(V62="",I62=""),"",((I62-V62)^2))</x:f>
      </x:c>
      <x:c r="X62" s="54"/>
      <x:c r="Y62" s="54" t="str">
        <x:f>IF(OR(V62="",X62=""),"",((X62-V62)^2))</x:f>
      </x:c>
      <x:c r="Z62" s="54" t="str">
        <x:f>IF(OR(W62="",Y62=""),"",Y62-W62)</x:f>
      </x:c>
      <x:c r="AC62" t="str">
        <x:f>IF(S62&lt;&gt;"Open","",IF(M62="","No deadline",IF(M62&lt;TODAY(),"OVERDUE",IF(M62&lt;=TODAY()+30,"Due ≤30d","Open"))))</x:f>
      </x:c>
      <x:c r="AF62" s="36"/>
    </x:row>
    <x:row r="63">
      <x:c r="G63" s="48"/>
      <x:c r="H63" s="36"/>
      <x:c r="I63" s="52"/>
      <x:c r="L63" s="50"/>
      <x:c r="M63" s="50"/>
      <x:c r="N63" s="36"/>
      <x:c r="O63" s="36"/>
      <x:c r="P63" s="36"/>
      <x:c r="Q63" s="36"/>
      <x:c r="R63" s="36"/>
      <x:c r="T63" s="50"/>
      <x:c r="U63" s="36"/>
      <x:c r="V63" t="str">
        <x:f>IF(S63="Resolved Hit",1,IF(S63="Resolved Miss",0,""))</x:f>
      </x:c>
      <x:c r="W63" s="54" t="str">
        <x:f>IF(OR(V63="",I63=""),"",((I63-V63)^2))</x:f>
      </x:c>
      <x:c r="X63" s="54"/>
      <x:c r="Y63" s="54" t="str">
        <x:f>IF(OR(V63="",X63=""),"",((X63-V63)^2))</x:f>
      </x:c>
      <x:c r="Z63" s="54" t="str">
        <x:f>IF(OR(W63="",Y63=""),"",Y63-W63)</x:f>
      </x:c>
      <x:c r="AC63" t="str">
        <x:f>IF(S63&lt;&gt;"Open","",IF(M63="","No deadline",IF(M63&lt;TODAY(),"OVERDUE",IF(M63&lt;=TODAY()+30,"Due ≤30d","Open"))))</x:f>
      </x:c>
      <x:c r="AF63" s="36"/>
    </x:row>
    <x:row r="64">
      <x:c r="G64" s="48"/>
      <x:c r="H64" s="36"/>
      <x:c r="I64" s="52"/>
      <x:c r="L64" s="50"/>
      <x:c r="M64" s="50"/>
      <x:c r="N64" s="36"/>
      <x:c r="O64" s="36"/>
      <x:c r="P64" s="36"/>
      <x:c r="Q64" s="36"/>
      <x:c r="R64" s="36"/>
      <x:c r="T64" s="50"/>
      <x:c r="U64" s="36"/>
      <x:c r="V64" t="str">
        <x:f>IF(S64="Resolved Hit",1,IF(S64="Resolved Miss",0,""))</x:f>
      </x:c>
      <x:c r="W64" s="54" t="str">
        <x:f>IF(OR(V64="",I64=""),"",((I64-V64)^2))</x:f>
      </x:c>
      <x:c r="X64" s="54"/>
      <x:c r="Y64" s="54" t="str">
        <x:f>IF(OR(V64="",X64=""),"",((X64-V64)^2))</x:f>
      </x:c>
      <x:c r="Z64" s="54" t="str">
        <x:f>IF(OR(W64="",Y64=""),"",Y64-W64)</x:f>
      </x:c>
      <x:c r="AC64" t="str">
        <x:f>IF(S64&lt;&gt;"Open","",IF(M64="","No deadline",IF(M64&lt;TODAY(),"OVERDUE",IF(M64&lt;=TODAY()+30,"Due ≤30d","Open"))))</x:f>
      </x:c>
      <x:c r="AF64" s="36"/>
    </x:row>
    <x:row r="65">
      <x:c r="G65" s="48"/>
      <x:c r="H65" s="36"/>
      <x:c r="I65" s="52"/>
      <x:c r="L65" s="50"/>
      <x:c r="M65" s="50"/>
      <x:c r="N65" s="36"/>
      <x:c r="O65" s="36"/>
      <x:c r="P65" s="36"/>
      <x:c r="Q65" s="36"/>
      <x:c r="R65" s="36"/>
      <x:c r="T65" s="50"/>
      <x:c r="U65" s="36"/>
      <x:c r="V65" t="str">
        <x:f>IF(S65="Resolved Hit",1,IF(S65="Resolved Miss",0,""))</x:f>
      </x:c>
      <x:c r="W65" s="54" t="str">
        <x:f>IF(OR(V65="",I65=""),"",((I65-V65)^2))</x:f>
      </x:c>
      <x:c r="X65" s="54"/>
      <x:c r="Y65" s="54" t="str">
        <x:f>IF(OR(V65="",X65=""),"",((X65-V65)^2))</x:f>
      </x:c>
      <x:c r="Z65" s="54" t="str">
        <x:f>IF(OR(W65="",Y65=""),"",Y65-W65)</x:f>
      </x:c>
      <x:c r="AC65" t="str">
        <x:f>IF(S65&lt;&gt;"Open","",IF(M65="","No deadline",IF(M65&lt;TODAY(),"OVERDUE",IF(M65&lt;=TODAY()+30,"Due ≤30d","Open"))))</x:f>
      </x:c>
      <x:c r="AF65" s="36"/>
    </x:row>
    <x:row r="66">
      <x:c r="G66" s="48"/>
      <x:c r="H66" s="36"/>
      <x:c r="I66" s="52"/>
      <x:c r="L66" s="50"/>
      <x:c r="M66" s="50"/>
      <x:c r="N66" s="36"/>
      <x:c r="O66" s="36"/>
      <x:c r="P66" s="36"/>
      <x:c r="Q66" s="36"/>
      <x:c r="R66" s="36"/>
      <x:c r="T66" s="50"/>
      <x:c r="U66" s="36"/>
      <x:c r="V66" t="str">
        <x:f>IF(S66="Resolved Hit",1,IF(S66="Resolved Miss",0,""))</x:f>
      </x:c>
      <x:c r="W66" s="54" t="str">
        <x:f>IF(OR(V66="",I66=""),"",((I66-V66)^2))</x:f>
      </x:c>
      <x:c r="X66" s="54"/>
      <x:c r="Y66" s="54" t="str">
        <x:f>IF(OR(V66="",X66=""),"",((X66-V66)^2))</x:f>
      </x:c>
      <x:c r="Z66" s="54" t="str">
        <x:f>IF(OR(W66="",Y66=""),"",Y66-W66)</x:f>
      </x:c>
      <x:c r="AC66" t="str">
        <x:f>IF(S66&lt;&gt;"Open","",IF(M66="","No deadline",IF(M66&lt;TODAY(),"OVERDUE",IF(M66&lt;=TODAY()+30,"Due ≤30d","Open"))))</x:f>
      </x:c>
      <x:c r="AF66" s="36"/>
    </x:row>
    <x:row r="67">
      <x:c r="G67" s="48"/>
      <x:c r="H67" s="36"/>
      <x:c r="I67" s="52"/>
      <x:c r="L67" s="50"/>
      <x:c r="M67" s="50"/>
      <x:c r="N67" s="36"/>
      <x:c r="O67" s="36"/>
      <x:c r="P67" s="36"/>
      <x:c r="Q67" s="36"/>
      <x:c r="R67" s="36"/>
      <x:c r="T67" s="50"/>
      <x:c r="U67" s="36"/>
      <x:c r="V67" t="str">
        <x:f>IF(S67="Resolved Hit",1,IF(S67="Resolved Miss",0,""))</x:f>
      </x:c>
      <x:c r="W67" s="54" t="str">
        <x:f>IF(OR(V67="",I67=""),"",((I67-V67)^2))</x:f>
      </x:c>
      <x:c r="X67" s="54"/>
      <x:c r="Y67" s="54" t="str">
        <x:f>IF(OR(V67="",X67=""),"",((X67-V67)^2))</x:f>
      </x:c>
      <x:c r="Z67" s="54" t="str">
        <x:f>IF(OR(W67="",Y67=""),"",Y67-W67)</x:f>
      </x:c>
      <x:c r="AC67" t="str">
        <x:f>IF(S67&lt;&gt;"Open","",IF(M67="","No deadline",IF(M67&lt;TODAY(),"OVERDUE",IF(M67&lt;=TODAY()+30,"Due ≤30d","Open"))))</x:f>
      </x:c>
      <x:c r="AF67" s="36"/>
    </x:row>
    <x:row r="68">
      <x:c r="G68" s="48"/>
      <x:c r="H68" s="36"/>
      <x:c r="I68" s="52"/>
      <x:c r="L68" s="50"/>
      <x:c r="M68" s="50"/>
      <x:c r="N68" s="36"/>
      <x:c r="O68" s="36"/>
      <x:c r="P68" s="36"/>
      <x:c r="Q68" s="36"/>
      <x:c r="R68" s="36"/>
      <x:c r="T68" s="50"/>
      <x:c r="U68" s="36"/>
      <x:c r="V68" t="str">
        <x:f>IF(S68="Resolved Hit",1,IF(S68="Resolved Miss",0,""))</x:f>
      </x:c>
      <x:c r="W68" s="54" t="str">
        <x:f>IF(OR(V68="",I68=""),"",((I68-V68)^2))</x:f>
      </x:c>
      <x:c r="X68" s="54"/>
      <x:c r="Y68" s="54" t="str">
        <x:f>IF(OR(V68="",X68=""),"",((X68-V68)^2))</x:f>
      </x:c>
      <x:c r="Z68" s="54" t="str">
        <x:f>IF(OR(W68="",Y68=""),"",Y68-W68)</x:f>
      </x:c>
      <x:c r="AC68" t="str">
        <x:f>IF(S68&lt;&gt;"Open","",IF(M68="","No deadline",IF(M68&lt;TODAY(),"OVERDUE",IF(M68&lt;=TODAY()+30,"Due ≤30d","Open"))))</x:f>
      </x:c>
      <x:c r="AF68" s="36"/>
    </x:row>
    <x:row r="69">
      <x:c r="G69" s="48"/>
      <x:c r="H69" s="36"/>
      <x:c r="I69" s="52"/>
      <x:c r="L69" s="50"/>
      <x:c r="M69" s="50"/>
      <x:c r="N69" s="36"/>
      <x:c r="O69" s="36"/>
      <x:c r="P69" s="36"/>
      <x:c r="Q69" s="36"/>
      <x:c r="R69" s="36"/>
      <x:c r="T69" s="50"/>
      <x:c r="U69" s="36"/>
      <x:c r="V69" t="str">
        <x:f>IF(S69="Resolved Hit",1,IF(S69="Resolved Miss",0,""))</x:f>
      </x:c>
      <x:c r="W69" s="54" t="str">
        <x:f>IF(OR(V69="",I69=""),"",((I69-V69)^2))</x:f>
      </x:c>
      <x:c r="X69" s="54"/>
      <x:c r="Y69" s="54" t="str">
        <x:f>IF(OR(V69="",X69=""),"",((X69-V69)^2))</x:f>
      </x:c>
      <x:c r="Z69" s="54" t="str">
        <x:f>IF(OR(W69="",Y69=""),"",Y69-W69)</x:f>
      </x:c>
      <x:c r="AC69" t="str">
        <x:f>IF(S69&lt;&gt;"Open","",IF(M69="","No deadline",IF(M69&lt;TODAY(),"OVERDUE",IF(M69&lt;=TODAY()+30,"Due ≤30d","Open"))))</x:f>
      </x:c>
      <x:c r="AF69" s="36"/>
    </x:row>
    <x:row r="70">
      <x:c r="G70" s="48"/>
      <x:c r="H70" s="36"/>
      <x:c r="I70" s="52"/>
      <x:c r="L70" s="50"/>
      <x:c r="M70" s="50"/>
      <x:c r="N70" s="36"/>
      <x:c r="O70" s="36"/>
      <x:c r="P70" s="36"/>
      <x:c r="Q70" s="36"/>
      <x:c r="R70" s="36"/>
      <x:c r="T70" s="50"/>
      <x:c r="U70" s="36"/>
      <x:c r="V70" t="str">
        <x:f>IF(S70="Resolved Hit",1,IF(S70="Resolved Miss",0,""))</x:f>
      </x:c>
      <x:c r="W70" s="54" t="str">
        <x:f>IF(OR(V70="",I70=""),"",((I70-V70)^2))</x:f>
      </x:c>
      <x:c r="X70" s="54"/>
      <x:c r="Y70" s="54" t="str">
        <x:f>IF(OR(V70="",X70=""),"",((X70-V70)^2))</x:f>
      </x:c>
      <x:c r="Z70" s="54" t="str">
        <x:f>IF(OR(W70="",Y70=""),"",Y70-W70)</x:f>
      </x:c>
      <x:c r="AC70" t="str">
        <x:f>IF(S70&lt;&gt;"Open","",IF(M70="","No deadline",IF(M70&lt;TODAY(),"OVERDUE",IF(M70&lt;=TODAY()+30,"Due ≤30d","Open"))))</x:f>
      </x:c>
      <x:c r="AF70" s="36"/>
    </x:row>
    <x:row r="71">
      <x:c r="G71" s="48"/>
      <x:c r="H71" s="36"/>
      <x:c r="I71" s="52"/>
      <x:c r="L71" s="50"/>
      <x:c r="M71" s="50"/>
      <x:c r="N71" s="36"/>
      <x:c r="O71" s="36"/>
      <x:c r="P71" s="36"/>
      <x:c r="Q71" s="36"/>
      <x:c r="R71" s="36"/>
      <x:c r="T71" s="50"/>
      <x:c r="U71" s="36"/>
      <x:c r="V71" t="str">
        <x:f>IF(S71="Resolved Hit",1,IF(S71="Resolved Miss",0,""))</x:f>
      </x:c>
      <x:c r="W71" s="54" t="str">
        <x:f>IF(OR(V71="",I71=""),"",((I71-V71)^2))</x:f>
      </x:c>
      <x:c r="X71" s="54"/>
      <x:c r="Y71" s="54" t="str">
        <x:f>IF(OR(V71="",X71=""),"",((X71-V71)^2))</x:f>
      </x:c>
      <x:c r="Z71" s="54" t="str">
        <x:f>IF(OR(W71="",Y71=""),"",Y71-W71)</x:f>
      </x:c>
      <x:c r="AC71" t="str">
        <x:f>IF(S71&lt;&gt;"Open","",IF(M71="","No deadline",IF(M71&lt;TODAY(),"OVERDUE",IF(M71&lt;=TODAY()+30,"Due ≤30d","Open"))))</x:f>
      </x:c>
      <x:c r="AF71" s="36"/>
    </x:row>
    <x:row r="72">
      <x:c r="G72" s="48"/>
      <x:c r="H72" s="36"/>
      <x:c r="I72" s="52"/>
      <x:c r="L72" s="50"/>
      <x:c r="M72" s="50"/>
      <x:c r="N72" s="36"/>
      <x:c r="O72" s="36"/>
      <x:c r="P72" s="36"/>
      <x:c r="Q72" s="36"/>
      <x:c r="R72" s="36"/>
      <x:c r="T72" s="50"/>
      <x:c r="U72" s="36"/>
      <x:c r="V72" t="str">
        <x:f>IF(S72="Resolved Hit",1,IF(S72="Resolved Miss",0,""))</x:f>
      </x:c>
      <x:c r="W72" s="54" t="str">
        <x:f>IF(OR(V72="",I72=""),"",((I72-V72)^2))</x:f>
      </x:c>
      <x:c r="X72" s="54"/>
      <x:c r="Y72" s="54" t="str">
        <x:f>IF(OR(V72="",X72=""),"",((X72-V72)^2))</x:f>
      </x:c>
      <x:c r="Z72" s="54" t="str">
        <x:f>IF(OR(W72="",Y72=""),"",Y72-W72)</x:f>
      </x:c>
      <x:c r="AC72" t="str">
        <x:f>IF(S72&lt;&gt;"Open","",IF(M72="","No deadline",IF(M72&lt;TODAY(),"OVERDUE",IF(M72&lt;=TODAY()+30,"Due ≤30d","Open"))))</x:f>
      </x:c>
      <x:c r="AF72" s="36"/>
    </x:row>
    <x:row r="73">
      <x:c r="G73" s="48"/>
      <x:c r="H73" s="36"/>
      <x:c r="I73" s="52"/>
      <x:c r="L73" s="50"/>
      <x:c r="M73" s="50"/>
      <x:c r="N73" s="36"/>
      <x:c r="O73" s="36"/>
      <x:c r="P73" s="36"/>
      <x:c r="Q73" s="36"/>
      <x:c r="R73" s="36"/>
      <x:c r="T73" s="50"/>
      <x:c r="U73" s="36"/>
      <x:c r="V73" t="str">
        <x:f>IF(S73="Resolved Hit",1,IF(S73="Resolved Miss",0,""))</x:f>
      </x:c>
      <x:c r="W73" s="54" t="str">
        <x:f>IF(OR(V73="",I73=""),"",((I73-V73)^2))</x:f>
      </x:c>
      <x:c r="X73" s="54"/>
      <x:c r="Y73" s="54" t="str">
        <x:f>IF(OR(V73="",X73=""),"",((X73-V73)^2))</x:f>
      </x:c>
      <x:c r="Z73" s="54" t="str">
        <x:f>IF(OR(W73="",Y73=""),"",Y73-W73)</x:f>
      </x:c>
      <x:c r="AC73" t="str">
        <x:f>IF(S73&lt;&gt;"Open","",IF(M73="","No deadline",IF(M73&lt;TODAY(),"OVERDUE",IF(M73&lt;=TODAY()+30,"Due ≤30d","Open"))))</x:f>
      </x:c>
      <x:c r="AF73" s="36"/>
    </x:row>
    <x:row r="74">
      <x:c r="G74" s="48"/>
      <x:c r="H74" s="36"/>
      <x:c r="I74" s="52"/>
      <x:c r="L74" s="50"/>
      <x:c r="M74" s="50"/>
      <x:c r="N74" s="36"/>
      <x:c r="O74" s="36"/>
      <x:c r="P74" s="36"/>
      <x:c r="Q74" s="36"/>
      <x:c r="R74" s="36"/>
      <x:c r="T74" s="50"/>
      <x:c r="U74" s="36"/>
      <x:c r="V74" t="str">
        <x:f>IF(S74="Resolved Hit",1,IF(S74="Resolved Miss",0,""))</x:f>
      </x:c>
      <x:c r="W74" s="54" t="str">
        <x:f>IF(OR(V74="",I74=""),"",((I74-V74)^2))</x:f>
      </x:c>
      <x:c r="X74" s="54"/>
      <x:c r="Y74" s="54" t="str">
        <x:f>IF(OR(V74="",X74=""),"",((X74-V74)^2))</x:f>
      </x:c>
      <x:c r="Z74" s="54" t="str">
        <x:f>IF(OR(W74="",Y74=""),"",Y74-W74)</x:f>
      </x:c>
      <x:c r="AC74" t="str">
        <x:f>IF(S74&lt;&gt;"Open","",IF(M74="","No deadline",IF(M74&lt;TODAY(),"OVERDUE",IF(M74&lt;=TODAY()+30,"Due ≤30d","Open"))))</x:f>
      </x:c>
      <x:c r="AF74" s="36"/>
    </x:row>
    <x:row r="75">
      <x:c r="G75" s="48"/>
      <x:c r="H75" s="36"/>
      <x:c r="I75" s="52"/>
      <x:c r="L75" s="50"/>
      <x:c r="M75" s="50"/>
      <x:c r="N75" s="36"/>
      <x:c r="O75" s="36"/>
      <x:c r="P75" s="36"/>
      <x:c r="Q75" s="36"/>
      <x:c r="R75" s="36"/>
      <x:c r="T75" s="50"/>
      <x:c r="U75" s="36"/>
      <x:c r="V75" t="str">
        <x:f>IF(S75="Resolved Hit",1,IF(S75="Resolved Miss",0,""))</x:f>
      </x:c>
      <x:c r="W75" s="54" t="str">
        <x:f>IF(OR(V75="",I75=""),"",((I75-V75)^2))</x:f>
      </x:c>
      <x:c r="X75" s="54"/>
      <x:c r="Y75" s="54" t="str">
        <x:f>IF(OR(V75="",X75=""),"",((X75-V75)^2))</x:f>
      </x:c>
      <x:c r="Z75" s="54" t="str">
        <x:f>IF(OR(W75="",Y75=""),"",Y75-W75)</x:f>
      </x:c>
      <x:c r="AC75" t="str">
        <x:f>IF(S75&lt;&gt;"Open","",IF(M75="","No deadline",IF(M75&lt;TODAY(),"OVERDUE",IF(M75&lt;=TODAY()+30,"Due ≤30d","Open"))))</x:f>
      </x:c>
      <x:c r="AF75" s="36"/>
    </x:row>
    <x:row r="76">
      <x:c r="G76" s="48"/>
      <x:c r="H76" s="36"/>
      <x:c r="I76" s="52"/>
      <x:c r="L76" s="50"/>
      <x:c r="M76" s="50"/>
      <x:c r="N76" s="36"/>
      <x:c r="O76" s="36"/>
      <x:c r="P76" s="36"/>
      <x:c r="Q76" s="36"/>
      <x:c r="R76" s="36"/>
      <x:c r="T76" s="50"/>
      <x:c r="U76" s="36"/>
      <x:c r="V76" t="str">
        <x:f>IF(S76="Resolved Hit",1,IF(S76="Resolved Miss",0,""))</x:f>
      </x:c>
      <x:c r="W76" s="54" t="str">
        <x:f>IF(OR(V76="",I76=""),"",((I76-V76)^2))</x:f>
      </x:c>
      <x:c r="X76" s="54"/>
      <x:c r="Y76" s="54" t="str">
        <x:f>IF(OR(V76="",X76=""),"",((X76-V76)^2))</x:f>
      </x:c>
      <x:c r="Z76" s="54" t="str">
        <x:f>IF(OR(W76="",Y76=""),"",Y76-W76)</x:f>
      </x:c>
      <x:c r="AC76" t="str">
        <x:f>IF(S76&lt;&gt;"Open","",IF(M76="","No deadline",IF(M76&lt;TODAY(),"OVERDUE",IF(M76&lt;=TODAY()+30,"Due ≤30d","Open"))))</x:f>
      </x:c>
      <x:c r="AF76" s="36"/>
    </x:row>
    <x:row r="77">
      <x:c r="G77" s="48"/>
      <x:c r="H77" s="36"/>
      <x:c r="I77" s="52"/>
      <x:c r="L77" s="50"/>
      <x:c r="M77" s="50"/>
      <x:c r="N77" s="36"/>
      <x:c r="O77" s="36"/>
      <x:c r="P77" s="36"/>
      <x:c r="Q77" s="36"/>
      <x:c r="R77" s="36"/>
      <x:c r="T77" s="50"/>
      <x:c r="U77" s="36"/>
      <x:c r="V77" t="str">
        <x:f>IF(S77="Resolved Hit",1,IF(S77="Resolved Miss",0,""))</x:f>
      </x:c>
      <x:c r="W77" s="54" t="str">
        <x:f>IF(OR(V77="",I77=""),"",((I77-V77)^2))</x:f>
      </x:c>
      <x:c r="X77" s="54"/>
      <x:c r="Y77" s="54" t="str">
        <x:f>IF(OR(V77="",X77=""),"",((X77-V77)^2))</x:f>
      </x:c>
      <x:c r="Z77" s="54" t="str">
        <x:f>IF(OR(W77="",Y77=""),"",Y77-W77)</x:f>
      </x:c>
      <x:c r="AC77" t="str">
        <x:f>IF(S77&lt;&gt;"Open","",IF(M77="","No deadline",IF(M77&lt;TODAY(),"OVERDUE",IF(M77&lt;=TODAY()+30,"Due ≤30d","Open"))))</x:f>
      </x:c>
      <x:c r="AF77" s="36"/>
    </x:row>
    <x:row r="78">
      <x:c r="G78" s="48"/>
      <x:c r="H78" s="36"/>
      <x:c r="I78" s="52"/>
      <x:c r="L78" s="50"/>
      <x:c r="M78" s="50"/>
      <x:c r="N78" s="36"/>
      <x:c r="O78" s="36"/>
      <x:c r="P78" s="36"/>
      <x:c r="Q78" s="36"/>
      <x:c r="R78" s="36"/>
      <x:c r="T78" s="50"/>
      <x:c r="U78" s="36"/>
      <x:c r="V78" t="str">
        <x:f>IF(S78="Resolved Hit",1,IF(S78="Resolved Miss",0,""))</x:f>
      </x:c>
      <x:c r="W78" s="54" t="str">
        <x:f>IF(OR(V78="",I78=""),"",((I78-V78)^2))</x:f>
      </x:c>
      <x:c r="X78" s="54"/>
      <x:c r="Y78" s="54" t="str">
        <x:f>IF(OR(V78="",X78=""),"",((X78-V78)^2))</x:f>
      </x:c>
      <x:c r="Z78" s="54" t="str">
        <x:f>IF(OR(W78="",Y78=""),"",Y78-W78)</x:f>
      </x:c>
      <x:c r="AC78" t="str">
        <x:f>IF(S78&lt;&gt;"Open","",IF(M78="","No deadline",IF(M78&lt;TODAY(),"OVERDUE",IF(M78&lt;=TODAY()+30,"Due ≤30d","Open"))))</x:f>
      </x:c>
      <x:c r="AF78" s="36"/>
    </x:row>
    <x:row r="79">
      <x:c r="G79" s="48"/>
      <x:c r="H79" s="36"/>
      <x:c r="I79" s="52"/>
      <x:c r="L79" s="50"/>
      <x:c r="M79" s="50"/>
      <x:c r="N79" s="36"/>
      <x:c r="O79" s="36"/>
      <x:c r="P79" s="36"/>
      <x:c r="Q79" s="36"/>
      <x:c r="R79" s="36"/>
      <x:c r="T79" s="50"/>
      <x:c r="U79" s="36"/>
      <x:c r="V79" t="str">
        <x:f>IF(S79="Resolved Hit",1,IF(S79="Resolved Miss",0,""))</x:f>
      </x:c>
      <x:c r="W79" s="54" t="str">
        <x:f>IF(OR(V79="",I79=""),"",((I79-V79)^2))</x:f>
      </x:c>
      <x:c r="X79" s="54"/>
      <x:c r="Y79" s="54" t="str">
        <x:f>IF(OR(V79="",X79=""),"",((X79-V79)^2))</x:f>
      </x:c>
      <x:c r="Z79" s="54" t="str">
        <x:f>IF(OR(W79="",Y79=""),"",Y79-W79)</x:f>
      </x:c>
      <x:c r="AC79" t="str">
        <x:f>IF(S79&lt;&gt;"Open","",IF(M79="","No deadline",IF(M79&lt;TODAY(),"OVERDUE",IF(M79&lt;=TODAY()+30,"Due ≤30d","Open"))))</x:f>
      </x:c>
      <x:c r="AF79" s="36"/>
    </x:row>
    <x:row r="80">
      <x:c r="G80" s="48"/>
      <x:c r="H80" s="36"/>
      <x:c r="I80" s="52"/>
      <x:c r="L80" s="50"/>
      <x:c r="M80" s="50"/>
      <x:c r="N80" s="36"/>
      <x:c r="O80" s="36"/>
      <x:c r="P80" s="36"/>
      <x:c r="Q80" s="36"/>
      <x:c r="R80" s="36"/>
      <x:c r="T80" s="50"/>
      <x:c r="U80" s="36"/>
      <x:c r="V80" t="str">
        <x:f>IF(S80="Resolved Hit",1,IF(S80="Resolved Miss",0,""))</x:f>
      </x:c>
      <x:c r="W80" s="54" t="str">
        <x:f>IF(OR(V80="",I80=""),"",((I80-V80)^2))</x:f>
      </x:c>
      <x:c r="X80" s="54"/>
      <x:c r="Y80" s="54" t="str">
        <x:f>IF(OR(V80="",X80=""),"",((X80-V80)^2))</x:f>
      </x:c>
      <x:c r="Z80" s="54" t="str">
        <x:f>IF(OR(W80="",Y80=""),"",Y80-W80)</x:f>
      </x:c>
      <x:c r="AC80" t="str">
        <x:f>IF(S80&lt;&gt;"Open","",IF(M80="","No deadline",IF(M80&lt;TODAY(),"OVERDUE",IF(M80&lt;=TODAY()+30,"Due ≤30d","Open"))))</x:f>
      </x:c>
      <x:c r="AF80" s="36"/>
    </x:row>
    <x:row r="81">
      <x:c r="G81" s="48"/>
      <x:c r="H81" s="36"/>
      <x:c r="I81" s="52"/>
      <x:c r="L81" s="50"/>
      <x:c r="M81" s="50"/>
      <x:c r="N81" s="36"/>
      <x:c r="O81" s="36"/>
      <x:c r="P81" s="36"/>
      <x:c r="Q81" s="36"/>
      <x:c r="R81" s="36"/>
      <x:c r="T81" s="50"/>
      <x:c r="U81" s="36"/>
      <x:c r="V81" t="str">
        <x:f>IF(S81="Resolved Hit",1,IF(S81="Resolved Miss",0,""))</x:f>
      </x:c>
      <x:c r="W81" s="54" t="str">
        <x:f>IF(OR(V81="",I81=""),"",((I81-V81)^2))</x:f>
      </x:c>
      <x:c r="X81" s="54"/>
      <x:c r="Y81" s="54" t="str">
        <x:f>IF(OR(V81="",X81=""),"",((X81-V81)^2))</x:f>
      </x:c>
      <x:c r="Z81" s="54" t="str">
        <x:f>IF(OR(W81="",Y81=""),"",Y81-W81)</x:f>
      </x:c>
      <x:c r="AC81" t="str">
        <x:f>IF(S81&lt;&gt;"Open","",IF(M81="","No deadline",IF(M81&lt;TODAY(),"OVERDUE",IF(M81&lt;=TODAY()+30,"Due ≤30d","Open"))))</x:f>
      </x:c>
      <x:c r="AF81" s="36"/>
    </x:row>
    <x:row r="82">
      <x:c r="G82" s="48"/>
      <x:c r="H82" s="36"/>
      <x:c r="I82" s="52"/>
      <x:c r="L82" s="50"/>
      <x:c r="M82" s="50"/>
      <x:c r="N82" s="36"/>
      <x:c r="O82" s="36"/>
      <x:c r="P82" s="36"/>
      <x:c r="Q82" s="36"/>
      <x:c r="R82" s="36"/>
      <x:c r="T82" s="50"/>
      <x:c r="U82" s="36"/>
      <x:c r="V82" t="str">
        <x:f>IF(S82="Resolved Hit",1,IF(S82="Resolved Miss",0,""))</x:f>
      </x:c>
      <x:c r="W82" s="54" t="str">
        <x:f>IF(OR(V82="",I82=""),"",((I82-V82)^2))</x:f>
      </x:c>
      <x:c r="X82" s="54"/>
      <x:c r="Y82" s="54" t="str">
        <x:f>IF(OR(V82="",X82=""),"",((X82-V82)^2))</x:f>
      </x:c>
      <x:c r="Z82" s="54" t="str">
        <x:f>IF(OR(W82="",Y82=""),"",Y82-W82)</x:f>
      </x:c>
      <x:c r="AC82" t="str">
        <x:f>IF(S82&lt;&gt;"Open","",IF(M82="","No deadline",IF(M82&lt;TODAY(),"OVERDUE",IF(M82&lt;=TODAY()+30,"Due ≤30d","Open"))))</x:f>
      </x:c>
      <x:c r="AF82" s="36"/>
    </x:row>
    <x:row r="83">
      <x:c r="G83" s="48"/>
      <x:c r="H83" s="36"/>
      <x:c r="I83" s="52"/>
      <x:c r="L83" s="50"/>
      <x:c r="M83" s="50"/>
      <x:c r="N83" s="36"/>
      <x:c r="O83" s="36"/>
      <x:c r="P83" s="36"/>
      <x:c r="Q83" s="36"/>
      <x:c r="R83" s="36"/>
      <x:c r="T83" s="50"/>
      <x:c r="U83" s="36"/>
      <x:c r="V83" t="str">
        <x:f>IF(S83="Resolved Hit",1,IF(S83="Resolved Miss",0,""))</x:f>
      </x:c>
      <x:c r="W83" s="54" t="str">
        <x:f>IF(OR(V83="",I83=""),"",((I83-V83)^2))</x:f>
      </x:c>
      <x:c r="X83" s="54"/>
      <x:c r="Y83" s="54" t="str">
        <x:f>IF(OR(V83="",X83=""),"",((X83-V83)^2))</x:f>
      </x:c>
      <x:c r="Z83" s="54" t="str">
        <x:f>IF(OR(W83="",Y83=""),"",Y83-W83)</x:f>
      </x:c>
      <x:c r="AC83" t="str">
        <x:f>IF(S83&lt;&gt;"Open","",IF(M83="","No deadline",IF(M83&lt;TODAY(),"OVERDUE",IF(M83&lt;=TODAY()+30,"Due ≤30d","Open"))))</x:f>
      </x:c>
      <x:c r="AF83" s="36"/>
    </x:row>
    <x:row r="84">
      <x:c r="G84" s="48"/>
      <x:c r="H84" s="36"/>
      <x:c r="I84" s="52"/>
      <x:c r="L84" s="50"/>
      <x:c r="M84" s="50"/>
      <x:c r="N84" s="36"/>
      <x:c r="O84" s="36"/>
      <x:c r="P84" s="36"/>
      <x:c r="Q84" s="36"/>
      <x:c r="R84" s="36"/>
      <x:c r="T84" s="50"/>
      <x:c r="U84" s="36"/>
      <x:c r="V84" t="str">
        <x:f>IF(S84="Resolved Hit",1,IF(S84="Resolved Miss",0,""))</x:f>
      </x:c>
      <x:c r="W84" s="54" t="str">
        <x:f>IF(OR(V84="",I84=""),"",((I84-V84)^2))</x:f>
      </x:c>
      <x:c r="X84" s="54"/>
      <x:c r="Y84" s="54" t="str">
        <x:f>IF(OR(V84="",X84=""),"",((X84-V84)^2))</x:f>
      </x:c>
      <x:c r="Z84" s="54" t="str">
        <x:f>IF(OR(W84="",Y84=""),"",Y84-W84)</x:f>
      </x:c>
      <x:c r="AC84" t="str">
        <x:f>IF(S84&lt;&gt;"Open","",IF(M84="","No deadline",IF(M84&lt;TODAY(),"OVERDUE",IF(M84&lt;=TODAY()+30,"Due ≤30d","Open"))))</x:f>
      </x:c>
      <x:c r="AF84" s="36"/>
    </x:row>
    <x:row r="85">
      <x:c r="G85" s="48"/>
      <x:c r="H85" s="36"/>
      <x:c r="I85" s="52"/>
      <x:c r="L85" s="50"/>
      <x:c r="M85" s="50"/>
      <x:c r="N85" s="36"/>
      <x:c r="O85" s="36"/>
      <x:c r="P85" s="36"/>
      <x:c r="Q85" s="36"/>
      <x:c r="R85" s="36"/>
      <x:c r="T85" s="50"/>
      <x:c r="U85" s="36"/>
      <x:c r="V85" t="str">
        <x:f>IF(S85="Resolved Hit",1,IF(S85="Resolved Miss",0,""))</x:f>
      </x:c>
      <x:c r="W85" s="54" t="str">
        <x:f>IF(OR(V85="",I85=""),"",((I85-V85)^2))</x:f>
      </x:c>
      <x:c r="X85" s="54"/>
      <x:c r="Y85" s="54" t="str">
        <x:f>IF(OR(V85="",X85=""),"",((X85-V85)^2))</x:f>
      </x:c>
      <x:c r="Z85" s="54" t="str">
        <x:f>IF(OR(W85="",Y85=""),"",Y85-W85)</x:f>
      </x:c>
      <x:c r="AC85" t="str">
        <x:f>IF(S85&lt;&gt;"Open","",IF(M85="","No deadline",IF(M85&lt;TODAY(),"OVERDUE",IF(M85&lt;=TODAY()+30,"Due ≤30d","Open"))))</x:f>
      </x:c>
      <x:c r="AF85" s="36"/>
    </x:row>
    <x:row r="86">
      <x:c r="G86" s="48"/>
      <x:c r="H86" s="36"/>
      <x:c r="I86" s="52"/>
      <x:c r="L86" s="50"/>
      <x:c r="M86" s="50"/>
      <x:c r="N86" s="36"/>
      <x:c r="O86" s="36"/>
      <x:c r="P86" s="36"/>
      <x:c r="Q86" s="36"/>
      <x:c r="R86" s="36"/>
      <x:c r="T86" s="50"/>
      <x:c r="U86" s="36"/>
      <x:c r="V86" t="str">
        <x:f>IF(S86="Resolved Hit",1,IF(S86="Resolved Miss",0,""))</x:f>
      </x:c>
      <x:c r="W86" s="54" t="str">
        <x:f>IF(OR(V86="",I86=""),"",((I86-V86)^2))</x:f>
      </x:c>
      <x:c r="X86" s="54"/>
      <x:c r="Y86" s="54" t="str">
        <x:f>IF(OR(V86="",X86=""),"",((X86-V86)^2))</x:f>
      </x:c>
      <x:c r="Z86" s="54" t="str">
        <x:f>IF(OR(W86="",Y86=""),"",Y86-W86)</x:f>
      </x:c>
      <x:c r="AC86" t="str">
        <x:f>IF(S86&lt;&gt;"Open","",IF(M86="","No deadline",IF(M86&lt;TODAY(),"OVERDUE",IF(M86&lt;=TODAY()+30,"Due ≤30d","Open"))))</x:f>
      </x:c>
      <x:c r="AF86" s="36"/>
    </x:row>
    <x:row r="87">
      <x:c r="G87" s="48"/>
      <x:c r="H87" s="36"/>
      <x:c r="I87" s="52"/>
      <x:c r="L87" s="50"/>
      <x:c r="M87" s="50"/>
      <x:c r="N87" s="36"/>
      <x:c r="O87" s="36"/>
      <x:c r="P87" s="36"/>
      <x:c r="Q87" s="36"/>
      <x:c r="R87" s="36"/>
      <x:c r="T87" s="50"/>
      <x:c r="U87" s="36"/>
      <x:c r="V87" t="str">
        <x:f>IF(S87="Resolved Hit",1,IF(S87="Resolved Miss",0,""))</x:f>
      </x:c>
      <x:c r="W87" s="54" t="str">
        <x:f>IF(OR(V87="",I87=""),"",((I87-V87)^2))</x:f>
      </x:c>
      <x:c r="X87" s="54"/>
      <x:c r="Y87" s="54" t="str">
        <x:f>IF(OR(V87="",X87=""),"",((X87-V87)^2))</x:f>
      </x:c>
      <x:c r="Z87" s="54" t="str">
        <x:f>IF(OR(W87="",Y87=""),"",Y87-W87)</x:f>
      </x:c>
      <x:c r="AC87" t="str">
        <x:f>IF(S87&lt;&gt;"Open","",IF(M87="","No deadline",IF(M87&lt;TODAY(),"OVERDUE",IF(M87&lt;=TODAY()+30,"Due ≤30d","Open"))))</x:f>
      </x:c>
      <x:c r="AF87" s="36"/>
    </x:row>
    <x:row r="88">
      <x:c r="G88" s="48"/>
      <x:c r="H88" s="36"/>
      <x:c r="I88" s="52"/>
      <x:c r="L88" s="50"/>
      <x:c r="M88" s="50"/>
      <x:c r="N88" s="36"/>
      <x:c r="O88" s="36"/>
      <x:c r="P88" s="36"/>
      <x:c r="Q88" s="36"/>
      <x:c r="R88" s="36"/>
      <x:c r="T88" s="50"/>
      <x:c r="U88" s="36"/>
      <x:c r="V88" t="str">
        <x:f>IF(S88="Resolved Hit",1,IF(S88="Resolved Miss",0,""))</x:f>
      </x:c>
      <x:c r="W88" s="54" t="str">
        <x:f>IF(OR(V88="",I88=""),"",((I88-V88)^2))</x:f>
      </x:c>
      <x:c r="X88" s="54"/>
      <x:c r="Y88" s="54" t="str">
        <x:f>IF(OR(V88="",X88=""),"",((X88-V88)^2))</x:f>
      </x:c>
      <x:c r="Z88" s="54" t="str">
        <x:f>IF(OR(W88="",Y88=""),"",Y88-W88)</x:f>
      </x:c>
      <x:c r="AC88" t="str">
        <x:f>IF(S88&lt;&gt;"Open","",IF(M88="","No deadline",IF(M88&lt;TODAY(),"OVERDUE",IF(M88&lt;=TODAY()+30,"Due ≤30d","Open"))))</x:f>
      </x:c>
      <x:c r="AF88" s="36"/>
    </x:row>
    <x:row r="89">
      <x:c r="G89" s="48"/>
      <x:c r="H89" s="36"/>
      <x:c r="I89" s="52"/>
      <x:c r="L89" s="50"/>
      <x:c r="M89" s="50"/>
      <x:c r="N89" s="36"/>
      <x:c r="O89" s="36"/>
      <x:c r="P89" s="36"/>
      <x:c r="Q89" s="36"/>
      <x:c r="R89" s="36"/>
      <x:c r="T89" s="50"/>
      <x:c r="U89" s="36"/>
      <x:c r="V89" t="str">
        <x:f>IF(S89="Resolved Hit",1,IF(S89="Resolved Miss",0,""))</x:f>
      </x:c>
      <x:c r="W89" s="54" t="str">
        <x:f>IF(OR(V89="",I89=""),"",((I89-V89)^2))</x:f>
      </x:c>
      <x:c r="X89" s="54"/>
      <x:c r="Y89" s="54" t="str">
        <x:f>IF(OR(V89="",X89=""),"",((X89-V89)^2))</x:f>
      </x:c>
      <x:c r="Z89" s="54" t="str">
        <x:f>IF(OR(W89="",Y89=""),"",Y89-W89)</x:f>
      </x:c>
      <x:c r="AC89" t="str">
        <x:f>IF(S89&lt;&gt;"Open","",IF(M89="","No deadline",IF(M89&lt;TODAY(),"OVERDUE",IF(M89&lt;=TODAY()+30,"Due ≤30d","Open"))))</x:f>
      </x:c>
      <x:c r="AF89" s="36"/>
    </x:row>
    <x:row r="90">
      <x:c r="G90" s="48"/>
      <x:c r="H90" s="36"/>
      <x:c r="I90" s="52"/>
      <x:c r="L90" s="50"/>
      <x:c r="M90" s="50"/>
      <x:c r="N90" s="36"/>
      <x:c r="O90" s="36"/>
      <x:c r="P90" s="36"/>
      <x:c r="Q90" s="36"/>
      <x:c r="R90" s="36"/>
      <x:c r="T90" s="50"/>
      <x:c r="U90" s="36"/>
      <x:c r="V90" t="str">
        <x:f>IF(S90="Resolved Hit",1,IF(S90="Resolved Miss",0,""))</x:f>
      </x:c>
      <x:c r="W90" s="54" t="str">
        <x:f>IF(OR(V90="",I90=""),"",((I90-V90)^2))</x:f>
      </x:c>
      <x:c r="X90" s="54"/>
      <x:c r="Y90" s="54" t="str">
        <x:f>IF(OR(V90="",X90=""),"",((X90-V90)^2))</x:f>
      </x:c>
      <x:c r="Z90" s="54" t="str">
        <x:f>IF(OR(W90="",Y90=""),"",Y90-W90)</x:f>
      </x:c>
      <x:c r="AC90" t="str">
        <x:f>IF(S90&lt;&gt;"Open","",IF(M90="","No deadline",IF(M90&lt;TODAY(),"OVERDUE",IF(M90&lt;=TODAY()+30,"Due ≤30d","Open"))))</x:f>
      </x:c>
      <x:c r="AF90" s="36"/>
    </x:row>
    <x:row r="91">
      <x:c r="G91" s="48"/>
      <x:c r="H91" s="36"/>
      <x:c r="I91" s="52"/>
      <x:c r="L91" s="50"/>
      <x:c r="M91" s="50"/>
      <x:c r="N91" s="36"/>
      <x:c r="O91" s="36"/>
      <x:c r="P91" s="36"/>
      <x:c r="Q91" s="36"/>
      <x:c r="R91" s="36"/>
      <x:c r="T91" s="50"/>
      <x:c r="U91" s="36"/>
      <x:c r="V91" t="str">
        <x:f>IF(S91="Resolved Hit",1,IF(S91="Resolved Miss",0,""))</x:f>
      </x:c>
      <x:c r="W91" s="54" t="str">
        <x:f>IF(OR(V91="",I91=""),"",((I91-V91)^2))</x:f>
      </x:c>
      <x:c r="X91" s="54"/>
      <x:c r="Y91" s="54" t="str">
        <x:f>IF(OR(V91="",X91=""),"",((X91-V91)^2))</x:f>
      </x:c>
      <x:c r="Z91" s="54" t="str">
        <x:f>IF(OR(W91="",Y91=""),"",Y91-W91)</x:f>
      </x:c>
      <x:c r="AC91" t="str">
        <x:f>IF(S91&lt;&gt;"Open","",IF(M91="","No deadline",IF(M91&lt;TODAY(),"OVERDUE",IF(M91&lt;=TODAY()+30,"Due ≤30d","Open"))))</x:f>
      </x:c>
      <x:c r="AF91" s="36"/>
    </x:row>
    <x:row r="92">
      <x:c r="G92" s="48"/>
      <x:c r="H92" s="36"/>
      <x:c r="I92" s="52"/>
      <x:c r="L92" s="50"/>
      <x:c r="M92" s="50"/>
      <x:c r="N92" s="36"/>
      <x:c r="O92" s="36"/>
      <x:c r="P92" s="36"/>
      <x:c r="Q92" s="36"/>
      <x:c r="R92" s="36"/>
      <x:c r="T92" s="50"/>
      <x:c r="U92" s="36"/>
      <x:c r="V92" t="str">
        <x:f>IF(S92="Resolved Hit",1,IF(S92="Resolved Miss",0,""))</x:f>
      </x:c>
      <x:c r="W92" s="54" t="str">
        <x:f>IF(OR(V92="",I92=""),"",((I92-V92)^2))</x:f>
      </x:c>
      <x:c r="X92" s="54"/>
      <x:c r="Y92" s="54" t="str">
        <x:f>IF(OR(V92="",X92=""),"",((X92-V92)^2))</x:f>
      </x:c>
      <x:c r="Z92" s="54" t="str">
        <x:f>IF(OR(W92="",Y92=""),"",Y92-W92)</x:f>
      </x:c>
      <x:c r="AC92" t="str">
        <x:f>IF(S92&lt;&gt;"Open","",IF(M92="","No deadline",IF(M92&lt;TODAY(),"OVERDUE",IF(M92&lt;=TODAY()+30,"Due ≤30d","Open"))))</x:f>
      </x:c>
      <x:c r="AF92" s="36"/>
    </x:row>
    <x:row r="93">
      <x:c r="G93" s="48"/>
      <x:c r="H93" s="36"/>
      <x:c r="I93" s="52"/>
      <x:c r="L93" s="50"/>
      <x:c r="M93" s="50"/>
      <x:c r="N93" s="36"/>
      <x:c r="O93" s="36"/>
      <x:c r="P93" s="36"/>
      <x:c r="Q93" s="36"/>
      <x:c r="R93" s="36"/>
      <x:c r="T93" s="50"/>
      <x:c r="U93" s="36"/>
      <x:c r="V93" t="str">
        <x:f>IF(S93="Resolved Hit",1,IF(S93="Resolved Miss",0,""))</x:f>
      </x:c>
      <x:c r="W93" s="54" t="str">
        <x:f>IF(OR(V93="",I93=""),"",((I93-V93)^2))</x:f>
      </x:c>
      <x:c r="X93" s="54"/>
      <x:c r="Y93" s="54" t="str">
        <x:f>IF(OR(V93="",X93=""),"",((X93-V93)^2))</x:f>
      </x:c>
      <x:c r="Z93" s="54" t="str">
        <x:f>IF(OR(W93="",Y93=""),"",Y93-W93)</x:f>
      </x:c>
      <x:c r="AC93" t="str">
        <x:f>IF(S93&lt;&gt;"Open","",IF(M93="","No deadline",IF(M93&lt;TODAY(),"OVERDUE",IF(M93&lt;=TODAY()+30,"Due ≤30d","Open"))))</x:f>
      </x:c>
      <x:c r="AF93" s="36"/>
    </x:row>
    <x:row r="94">
      <x:c r="G94" s="48"/>
      <x:c r="H94" s="36"/>
      <x:c r="I94" s="52"/>
      <x:c r="L94" s="50"/>
      <x:c r="M94" s="50"/>
      <x:c r="N94" s="36"/>
      <x:c r="O94" s="36"/>
      <x:c r="P94" s="36"/>
      <x:c r="Q94" s="36"/>
      <x:c r="R94" s="36"/>
      <x:c r="T94" s="50"/>
      <x:c r="U94" s="36"/>
      <x:c r="V94" t="str">
        <x:f>IF(S94="Resolved Hit",1,IF(S94="Resolved Miss",0,""))</x:f>
      </x:c>
      <x:c r="W94" s="54" t="str">
        <x:f>IF(OR(V94="",I94=""),"",((I94-V94)^2))</x:f>
      </x:c>
      <x:c r="X94" s="54"/>
      <x:c r="Y94" s="54" t="str">
        <x:f>IF(OR(V94="",X94=""),"",((X94-V94)^2))</x:f>
      </x:c>
      <x:c r="Z94" s="54" t="str">
        <x:f>IF(OR(W94="",Y94=""),"",Y94-W94)</x:f>
      </x:c>
      <x:c r="AC94" t="str">
        <x:f>IF(S94&lt;&gt;"Open","",IF(M94="","No deadline",IF(M94&lt;TODAY(),"OVERDUE",IF(M94&lt;=TODAY()+30,"Due ≤30d","Open"))))</x:f>
      </x:c>
      <x:c r="AF94" s="36"/>
    </x:row>
    <x:row r="95">
      <x:c r="G95" s="48"/>
      <x:c r="H95" s="36"/>
      <x:c r="I95" s="52"/>
      <x:c r="L95" s="50"/>
      <x:c r="M95" s="50"/>
      <x:c r="N95" s="36"/>
      <x:c r="O95" s="36"/>
      <x:c r="P95" s="36"/>
      <x:c r="Q95" s="36"/>
      <x:c r="R95" s="36"/>
      <x:c r="T95" s="50"/>
      <x:c r="U95" s="36"/>
      <x:c r="V95" t="str">
        <x:f>IF(S95="Resolved Hit",1,IF(S95="Resolved Miss",0,""))</x:f>
      </x:c>
      <x:c r="W95" s="54" t="str">
        <x:f>IF(OR(V95="",I95=""),"",((I95-V95)^2))</x:f>
      </x:c>
      <x:c r="X95" s="54"/>
      <x:c r="Y95" s="54" t="str">
        <x:f>IF(OR(V95="",X95=""),"",((X95-V95)^2))</x:f>
      </x:c>
      <x:c r="Z95" s="54" t="str">
        <x:f>IF(OR(W95="",Y95=""),"",Y95-W95)</x:f>
      </x:c>
      <x:c r="AC95" t="str">
        <x:f>IF(S95&lt;&gt;"Open","",IF(M95="","No deadline",IF(M95&lt;TODAY(),"OVERDUE",IF(M95&lt;=TODAY()+30,"Due ≤30d","Open"))))</x:f>
      </x:c>
      <x:c r="AF95" s="36"/>
    </x:row>
    <x:row r="96">
      <x:c r="G96" s="48"/>
      <x:c r="H96" s="36"/>
      <x:c r="I96" s="52"/>
      <x:c r="L96" s="50"/>
      <x:c r="M96" s="50"/>
      <x:c r="N96" s="36"/>
      <x:c r="O96" s="36"/>
      <x:c r="P96" s="36"/>
      <x:c r="Q96" s="36"/>
      <x:c r="R96" s="36"/>
      <x:c r="T96" s="50"/>
      <x:c r="U96" s="36"/>
      <x:c r="V96" t="str">
        <x:f>IF(S96="Resolved Hit",1,IF(S96="Resolved Miss",0,""))</x:f>
      </x:c>
      <x:c r="W96" s="54" t="str">
        <x:f>IF(OR(V96="",I96=""),"",((I96-V96)^2))</x:f>
      </x:c>
      <x:c r="X96" s="54"/>
      <x:c r="Y96" s="54" t="str">
        <x:f>IF(OR(V96="",X96=""),"",((X96-V96)^2))</x:f>
      </x:c>
      <x:c r="Z96" s="54" t="str">
        <x:f>IF(OR(W96="",Y96=""),"",Y96-W96)</x:f>
      </x:c>
      <x:c r="AC96" t="str">
        <x:f>IF(S96&lt;&gt;"Open","",IF(M96="","No deadline",IF(M96&lt;TODAY(),"OVERDUE",IF(M96&lt;=TODAY()+30,"Due ≤30d","Open"))))</x:f>
      </x:c>
      <x:c r="AF96" s="36"/>
    </x:row>
    <x:row r="97">
      <x:c r="G97" s="48"/>
      <x:c r="H97" s="36"/>
      <x:c r="I97" s="52"/>
      <x:c r="L97" s="50"/>
      <x:c r="M97" s="50"/>
      <x:c r="N97" s="36"/>
      <x:c r="O97" s="36"/>
      <x:c r="P97" s="36"/>
      <x:c r="Q97" s="36"/>
      <x:c r="R97" s="36"/>
      <x:c r="T97" s="50"/>
      <x:c r="U97" s="36"/>
      <x:c r="V97" t="str">
        <x:f>IF(S97="Resolved Hit",1,IF(S97="Resolved Miss",0,""))</x:f>
      </x:c>
      <x:c r="W97" s="54" t="str">
        <x:f>IF(OR(V97="",I97=""),"",((I97-V97)^2))</x:f>
      </x:c>
      <x:c r="X97" s="54"/>
      <x:c r="Y97" s="54" t="str">
        <x:f>IF(OR(V97="",X97=""),"",((X97-V97)^2))</x:f>
      </x:c>
      <x:c r="Z97" s="54" t="str">
        <x:f>IF(OR(W97="",Y97=""),"",Y97-W97)</x:f>
      </x:c>
      <x:c r="AC97" t="str">
        <x:f>IF(S97&lt;&gt;"Open","",IF(M97="","No deadline",IF(M97&lt;TODAY(),"OVERDUE",IF(M97&lt;=TODAY()+30,"Due ≤30d","Open"))))</x:f>
      </x:c>
      <x:c r="AF97" s="36"/>
    </x:row>
    <x:row r="98">
      <x:c r="G98" s="48"/>
      <x:c r="H98" s="36"/>
      <x:c r="I98" s="52"/>
      <x:c r="L98" s="50"/>
      <x:c r="M98" s="50"/>
      <x:c r="N98" s="36"/>
      <x:c r="O98" s="36"/>
      <x:c r="P98" s="36"/>
      <x:c r="Q98" s="36"/>
      <x:c r="R98" s="36"/>
      <x:c r="T98" s="50"/>
      <x:c r="U98" s="36"/>
      <x:c r="V98" t="str">
        <x:f>IF(S98="Resolved Hit",1,IF(S98="Resolved Miss",0,""))</x:f>
      </x:c>
      <x:c r="W98" s="54" t="str">
        <x:f>IF(OR(V98="",I98=""),"",((I98-V98)^2))</x:f>
      </x:c>
      <x:c r="X98" s="54"/>
      <x:c r="Y98" s="54" t="str">
        <x:f>IF(OR(V98="",X98=""),"",((X98-V98)^2))</x:f>
      </x:c>
      <x:c r="Z98" s="54" t="str">
        <x:f>IF(OR(W98="",Y98=""),"",Y98-W98)</x:f>
      </x:c>
      <x:c r="AC98" t="str">
        <x:f>IF(S98&lt;&gt;"Open","",IF(M98="","No deadline",IF(M98&lt;TODAY(),"OVERDUE",IF(M98&lt;=TODAY()+30,"Due ≤30d","Open"))))</x:f>
      </x:c>
      <x:c r="AF98" s="36"/>
    </x:row>
    <x:row r="99">
      <x:c r="G99" s="48"/>
      <x:c r="H99" s="36"/>
      <x:c r="I99" s="52"/>
      <x:c r="L99" s="50"/>
      <x:c r="M99" s="50"/>
      <x:c r="N99" s="36"/>
      <x:c r="O99" s="36"/>
      <x:c r="P99" s="36"/>
      <x:c r="Q99" s="36"/>
      <x:c r="R99" s="36"/>
      <x:c r="T99" s="50"/>
      <x:c r="U99" s="36"/>
      <x:c r="V99" t="str">
        <x:f>IF(S99="Resolved Hit",1,IF(S99="Resolved Miss",0,""))</x:f>
      </x:c>
      <x:c r="W99" s="54" t="str">
        <x:f>IF(OR(V99="",I99=""),"",((I99-V99)^2))</x:f>
      </x:c>
      <x:c r="X99" s="54"/>
      <x:c r="Y99" s="54" t="str">
        <x:f>IF(OR(V99="",X99=""),"",((X99-V99)^2))</x:f>
      </x:c>
      <x:c r="Z99" s="54" t="str">
        <x:f>IF(OR(W99="",Y99=""),"",Y99-W99)</x:f>
      </x:c>
      <x:c r="AC99" t="str">
        <x:f>IF(S99&lt;&gt;"Open","",IF(M99="","No deadline",IF(M99&lt;TODAY(),"OVERDUE",IF(M99&lt;=TODAY()+30,"Due ≤30d","Open"))))</x:f>
      </x:c>
      <x:c r="AF99" s="36"/>
    </x:row>
    <x:row r="100">
      <x:c r="G100" s="48"/>
      <x:c r="H100" s="36"/>
      <x:c r="I100" s="52"/>
      <x:c r="L100" s="50"/>
      <x:c r="M100" s="50"/>
      <x:c r="N100" s="36"/>
      <x:c r="O100" s="36"/>
      <x:c r="P100" s="36"/>
      <x:c r="Q100" s="36"/>
      <x:c r="R100" s="36"/>
      <x:c r="T100" s="50"/>
      <x:c r="U100" s="36"/>
      <x:c r="V100" t="str">
        <x:f>IF(S100="Resolved Hit",1,IF(S100="Resolved Miss",0,""))</x:f>
      </x:c>
      <x:c r="W100" s="54" t="str">
        <x:f>IF(OR(V100="",I100=""),"",((I100-V100)^2))</x:f>
      </x:c>
      <x:c r="X100" s="54"/>
      <x:c r="Y100" s="54" t="str">
        <x:f>IF(OR(V100="",X100=""),"",((X100-V100)^2))</x:f>
      </x:c>
      <x:c r="Z100" s="54" t="str">
        <x:f>IF(OR(W100="",Y100=""),"",Y100-W100)</x:f>
      </x:c>
      <x:c r="AC100" t="str">
        <x:f>IF(S100&lt;&gt;"Open","",IF(M100="","No deadline",IF(M100&lt;TODAY(),"OVERDUE",IF(M100&lt;=TODAY()+30,"Due ≤30d","Open"))))</x:f>
      </x:c>
      <x:c r="AF100" s="36"/>
    </x:row>
    <x:row r="101">
      <x:c r="G101" s="48"/>
      <x:c r="H101" s="36"/>
      <x:c r="I101" s="52"/>
      <x:c r="L101" s="50"/>
      <x:c r="M101" s="50"/>
      <x:c r="N101" s="36"/>
      <x:c r="O101" s="36"/>
      <x:c r="P101" s="36"/>
      <x:c r="Q101" s="36"/>
      <x:c r="R101" s="36"/>
      <x:c r="T101" s="50"/>
      <x:c r="U101" s="36"/>
      <x:c r="V101" t="str">
        <x:f>IF(S101="Resolved Hit",1,IF(S101="Resolved Miss",0,""))</x:f>
      </x:c>
      <x:c r="W101" s="54" t="str">
        <x:f>IF(OR(V101="",I101=""),"",((I101-V101)^2))</x:f>
      </x:c>
      <x:c r="X101" s="54"/>
      <x:c r="Y101" s="54" t="str">
        <x:f>IF(OR(V101="",X101=""),"",((X101-V101)^2))</x:f>
      </x:c>
      <x:c r="Z101" s="54" t="str">
        <x:f>IF(OR(W101="",Y101=""),"",Y101-W101)</x:f>
      </x:c>
      <x:c r="AC101" t="str">
        <x:f>IF(S101&lt;&gt;"Open","",IF(M101="","No deadline",IF(M101&lt;TODAY(),"OVERDUE",IF(M101&lt;=TODAY()+30,"Due ≤30d","Open"))))</x:f>
      </x:c>
      <x:c r="AF101" s="36"/>
    </x:row>
    <x:row r="102">
      <x:c r="G102" s="48"/>
      <x:c r="H102" s="36"/>
      <x:c r="I102" s="52"/>
      <x:c r="L102" s="50"/>
      <x:c r="M102" s="50"/>
      <x:c r="N102" s="36"/>
      <x:c r="O102" s="36"/>
      <x:c r="P102" s="36"/>
      <x:c r="Q102" s="36"/>
      <x:c r="R102" s="36"/>
      <x:c r="T102" s="50"/>
      <x:c r="U102" s="36"/>
      <x:c r="V102" t="str">
        <x:f>IF(S102="Resolved Hit",1,IF(S102="Resolved Miss",0,""))</x:f>
      </x:c>
      <x:c r="W102" s="54" t="str">
        <x:f>IF(OR(V102="",I102=""),"",((I102-V102)^2))</x:f>
      </x:c>
      <x:c r="X102" s="54"/>
      <x:c r="Y102" s="54" t="str">
        <x:f>IF(OR(V102="",X102=""),"",((X102-V102)^2))</x:f>
      </x:c>
      <x:c r="Z102" s="54" t="str">
        <x:f>IF(OR(W102="",Y102=""),"",Y102-W102)</x:f>
      </x:c>
      <x:c r="AC102" t="str">
        <x:f>IF(S102&lt;&gt;"Open","",IF(M102="","No deadline",IF(M102&lt;TODAY(),"OVERDUE",IF(M102&lt;=TODAY()+30,"Due ≤30d","Open"))))</x:f>
      </x:c>
      <x:c r="AF102" s="36"/>
    </x:row>
    <x:row r="103">
      <x:c r="G103" s="48"/>
      <x:c r="H103" s="36"/>
      <x:c r="I103" s="52"/>
      <x:c r="L103" s="50"/>
      <x:c r="M103" s="50"/>
      <x:c r="N103" s="36"/>
      <x:c r="O103" s="36"/>
      <x:c r="P103" s="36"/>
      <x:c r="Q103" s="36"/>
      <x:c r="R103" s="36"/>
      <x:c r="T103" s="50"/>
      <x:c r="U103" s="36"/>
      <x:c r="V103" t="str">
        <x:f>IF(S103="Resolved Hit",1,IF(S103="Resolved Miss",0,""))</x:f>
      </x:c>
      <x:c r="W103" s="54" t="str">
        <x:f>IF(OR(V103="",I103=""),"",((I103-V103)^2))</x:f>
      </x:c>
      <x:c r="X103" s="54"/>
      <x:c r="Y103" s="54" t="str">
        <x:f>IF(OR(V103="",X103=""),"",((X103-V103)^2))</x:f>
      </x:c>
      <x:c r="Z103" s="54" t="str">
        <x:f>IF(OR(W103="",Y103=""),"",Y103-W103)</x:f>
      </x:c>
      <x:c r="AC103" t="str">
        <x:f>IF(S103&lt;&gt;"Open","",IF(M103="","No deadline",IF(M103&lt;TODAY(),"OVERDUE",IF(M103&lt;=TODAY()+30,"Due ≤30d","Open"))))</x:f>
      </x:c>
      <x:c r="AF103" s="36"/>
    </x:row>
    <x:row r="104">
      <x:c r="G104" s="48"/>
      <x:c r="H104" s="36"/>
      <x:c r="I104" s="52"/>
      <x:c r="L104" s="50"/>
      <x:c r="M104" s="50"/>
      <x:c r="N104" s="36"/>
      <x:c r="O104" s="36"/>
      <x:c r="P104" s="36"/>
      <x:c r="Q104" s="36"/>
      <x:c r="R104" s="36"/>
      <x:c r="T104" s="50"/>
      <x:c r="U104" s="36"/>
      <x:c r="V104" t="str">
        <x:f>IF(S104="Resolved Hit",1,IF(S104="Resolved Miss",0,""))</x:f>
      </x:c>
      <x:c r="W104" s="54" t="str">
        <x:f>IF(OR(V104="",I104=""),"",((I104-V104)^2))</x:f>
      </x:c>
      <x:c r="X104" s="54"/>
      <x:c r="Y104" s="54" t="str">
        <x:f>IF(OR(V104="",X104=""),"",((X104-V104)^2))</x:f>
      </x:c>
      <x:c r="Z104" s="54" t="str">
        <x:f>IF(OR(W104="",Y104=""),"",Y104-W104)</x:f>
      </x:c>
      <x:c r="AC104" t="str">
        <x:f>IF(S104&lt;&gt;"Open","",IF(M104="","No deadline",IF(M104&lt;TODAY(),"OVERDUE",IF(M104&lt;=TODAY()+30,"Due ≤30d","Open"))))</x:f>
      </x:c>
      <x:c r="AF104" s="36"/>
    </x:row>
    <x:row r="105">
      <x:c r="G105" s="48"/>
      <x:c r="H105" s="36"/>
      <x:c r="I105" s="52"/>
      <x:c r="L105" s="50"/>
      <x:c r="M105" s="50"/>
      <x:c r="N105" s="36"/>
      <x:c r="O105" s="36"/>
      <x:c r="P105" s="36"/>
      <x:c r="Q105" s="36"/>
      <x:c r="R105" s="36"/>
      <x:c r="T105" s="50"/>
      <x:c r="U105" s="36"/>
      <x:c r="V105" t="str">
        <x:f>IF(S105="Resolved Hit",1,IF(S105="Resolved Miss",0,""))</x:f>
      </x:c>
      <x:c r="W105" s="54" t="str">
        <x:f>IF(OR(V105="",I105=""),"",((I105-V105)^2))</x:f>
      </x:c>
      <x:c r="X105" s="54"/>
      <x:c r="Y105" s="54" t="str">
        <x:f>IF(OR(V105="",X105=""),"",((X105-V105)^2))</x:f>
      </x:c>
      <x:c r="Z105" s="54" t="str">
        <x:f>IF(OR(W105="",Y105=""),"",Y105-W105)</x:f>
      </x:c>
      <x:c r="AC105" t="str">
        <x:f>IF(S105&lt;&gt;"Open","",IF(M105="","No deadline",IF(M105&lt;TODAY(),"OVERDUE",IF(M105&lt;=TODAY()+30,"Due ≤30d","Open"))))</x:f>
      </x:c>
      <x:c r="AF105" s="36"/>
    </x:row>
    <x:row r="106">
      <x:c r="G106" s="48"/>
      <x:c r="H106" s="36"/>
      <x:c r="I106" s="52"/>
      <x:c r="L106" s="50"/>
      <x:c r="M106" s="50"/>
      <x:c r="N106" s="36"/>
      <x:c r="O106" s="36"/>
      <x:c r="P106" s="36"/>
      <x:c r="Q106" s="36"/>
      <x:c r="R106" s="36"/>
      <x:c r="T106" s="50"/>
      <x:c r="U106" s="36"/>
      <x:c r="V106" t="str">
        <x:f>IF(S106="Resolved Hit",1,IF(S106="Resolved Miss",0,""))</x:f>
      </x:c>
      <x:c r="W106" s="54" t="str">
        <x:f>IF(OR(V106="",I106=""),"",((I106-V106)^2))</x:f>
      </x:c>
      <x:c r="X106" s="54"/>
      <x:c r="Y106" s="54" t="str">
        <x:f>IF(OR(V106="",X106=""),"",((X106-V106)^2))</x:f>
      </x:c>
      <x:c r="Z106" s="54" t="str">
        <x:f>IF(OR(W106="",Y106=""),"",Y106-W106)</x:f>
      </x:c>
      <x:c r="AC106" t="str">
        <x:f>IF(S106&lt;&gt;"Open","",IF(M106="","No deadline",IF(M106&lt;TODAY(),"OVERDUE",IF(M106&lt;=TODAY()+30,"Due ≤30d","Open"))))</x:f>
      </x:c>
      <x:c r="AF106" s="36"/>
    </x:row>
    <x:row r="107">
      <x:c r="G107" s="48"/>
      <x:c r="H107" s="36"/>
      <x:c r="I107" s="52"/>
      <x:c r="L107" s="50"/>
      <x:c r="M107" s="50"/>
      <x:c r="N107" s="36"/>
      <x:c r="O107" s="36"/>
      <x:c r="P107" s="36"/>
      <x:c r="Q107" s="36"/>
      <x:c r="R107" s="36"/>
      <x:c r="T107" s="50"/>
      <x:c r="U107" s="36"/>
      <x:c r="V107" t="str">
        <x:f>IF(S107="Resolved Hit",1,IF(S107="Resolved Miss",0,""))</x:f>
      </x:c>
      <x:c r="W107" s="54" t="str">
        <x:f>IF(OR(V107="",I107=""),"",((I107-V107)^2))</x:f>
      </x:c>
      <x:c r="X107" s="54"/>
      <x:c r="Y107" s="54" t="str">
        <x:f>IF(OR(V107="",X107=""),"",((X107-V107)^2))</x:f>
      </x:c>
      <x:c r="Z107" s="54" t="str">
        <x:f>IF(OR(W107="",Y107=""),"",Y107-W107)</x:f>
      </x:c>
      <x:c r="AC107" t="str">
        <x:f>IF(S107&lt;&gt;"Open","",IF(M107="","No deadline",IF(M107&lt;TODAY(),"OVERDUE",IF(M107&lt;=TODAY()+30,"Due ≤30d","Open"))))</x:f>
      </x:c>
      <x:c r="AF107" s="36"/>
    </x:row>
    <x:row r="108">
      <x:c r="G108" s="48"/>
      <x:c r="H108" s="36"/>
      <x:c r="I108" s="52"/>
      <x:c r="L108" s="50"/>
      <x:c r="M108" s="50"/>
      <x:c r="N108" s="36"/>
      <x:c r="O108" s="36"/>
      <x:c r="P108" s="36"/>
      <x:c r="Q108" s="36"/>
      <x:c r="R108" s="36"/>
      <x:c r="T108" s="50"/>
      <x:c r="U108" s="36"/>
      <x:c r="V108" t="str">
        <x:f>IF(S108="Resolved Hit",1,IF(S108="Resolved Miss",0,""))</x:f>
      </x:c>
      <x:c r="W108" s="54" t="str">
        <x:f>IF(OR(V108="",I108=""),"",((I108-V108)^2))</x:f>
      </x:c>
      <x:c r="X108" s="54"/>
      <x:c r="Y108" s="54" t="str">
        <x:f>IF(OR(V108="",X108=""),"",((X108-V108)^2))</x:f>
      </x:c>
      <x:c r="Z108" s="54" t="str">
        <x:f>IF(OR(W108="",Y108=""),"",Y108-W108)</x:f>
      </x:c>
      <x:c r="AC108" t="str">
        <x:f>IF(S108&lt;&gt;"Open","",IF(M108="","No deadline",IF(M108&lt;TODAY(),"OVERDUE",IF(M108&lt;=TODAY()+30,"Due ≤30d","Open"))))</x:f>
      </x:c>
      <x:c r="AF108" s="36"/>
    </x:row>
    <x:row r="109">
      <x:c r="G109" s="48"/>
      <x:c r="H109" s="36"/>
      <x:c r="I109" s="52"/>
      <x:c r="L109" s="50"/>
      <x:c r="M109" s="50"/>
      <x:c r="N109" s="36"/>
      <x:c r="O109" s="36"/>
      <x:c r="P109" s="36"/>
      <x:c r="Q109" s="36"/>
      <x:c r="R109" s="36"/>
      <x:c r="T109" s="50"/>
      <x:c r="U109" s="36"/>
      <x:c r="V109" t="str">
        <x:f>IF(S109="Resolved Hit",1,IF(S109="Resolved Miss",0,""))</x:f>
      </x:c>
      <x:c r="W109" s="54" t="str">
        <x:f>IF(OR(V109="",I109=""),"",((I109-V109)^2))</x:f>
      </x:c>
      <x:c r="X109" s="54"/>
      <x:c r="Y109" s="54" t="str">
        <x:f>IF(OR(V109="",X109=""),"",((X109-V109)^2))</x:f>
      </x:c>
      <x:c r="Z109" s="54" t="str">
        <x:f>IF(OR(W109="",Y109=""),"",Y109-W109)</x:f>
      </x:c>
      <x:c r="AC109" t="str">
        <x:f>IF(S109&lt;&gt;"Open","",IF(M109="","No deadline",IF(M109&lt;TODAY(),"OVERDUE",IF(M109&lt;=TODAY()+30,"Due ≤30d","Open"))))</x:f>
      </x:c>
      <x:c r="AF109" s="36"/>
    </x:row>
    <x:row r="110">
      <x:c r="G110" s="48"/>
      <x:c r="H110" s="36"/>
      <x:c r="I110" s="52"/>
      <x:c r="L110" s="50"/>
      <x:c r="M110" s="50"/>
      <x:c r="N110" s="36"/>
      <x:c r="O110" s="36"/>
      <x:c r="P110" s="36"/>
      <x:c r="Q110" s="36"/>
      <x:c r="R110" s="36"/>
      <x:c r="T110" s="50"/>
      <x:c r="U110" s="36"/>
      <x:c r="V110" t="str">
        <x:f>IF(S110="Resolved Hit",1,IF(S110="Resolved Miss",0,""))</x:f>
      </x:c>
      <x:c r="W110" s="54" t="str">
        <x:f>IF(OR(V110="",I110=""),"",((I110-V110)^2))</x:f>
      </x:c>
      <x:c r="X110" s="54"/>
      <x:c r="Y110" s="54" t="str">
        <x:f>IF(OR(V110="",X110=""),"",((X110-V110)^2))</x:f>
      </x:c>
      <x:c r="Z110" s="54" t="str">
        <x:f>IF(OR(W110="",Y110=""),"",Y110-W110)</x:f>
      </x:c>
      <x:c r="AC110" t="str">
        <x:f>IF(S110&lt;&gt;"Open","",IF(M110="","No deadline",IF(M110&lt;TODAY(),"OVERDUE",IF(M110&lt;=TODAY()+30,"Due ≤30d","Open"))))</x:f>
      </x:c>
      <x:c r="AF110" s="36"/>
    </x:row>
    <x:row r="111">
      <x:c r="G111" s="48"/>
      <x:c r="H111" s="36"/>
      <x:c r="I111" s="52"/>
      <x:c r="L111" s="50"/>
      <x:c r="M111" s="50"/>
      <x:c r="N111" s="36"/>
      <x:c r="O111" s="36"/>
      <x:c r="P111" s="36"/>
      <x:c r="Q111" s="36"/>
      <x:c r="R111" s="36"/>
      <x:c r="T111" s="50"/>
      <x:c r="U111" s="36"/>
      <x:c r="V111" t="str">
        <x:f>IF(S111="Resolved Hit",1,IF(S111="Resolved Miss",0,""))</x:f>
      </x:c>
      <x:c r="W111" s="54" t="str">
        <x:f>IF(OR(V111="",I111=""),"",((I111-V111)^2))</x:f>
      </x:c>
      <x:c r="X111" s="54"/>
      <x:c r="Y111" s="54" t="str">
        <x:f>IF(OR(V111="",X111=""),"",((X111-V111)^2))</x:f>
      </x:c>
      <x:c r="Z111" s="54" t="str">
        <x:f>IF(OR(W111="",Y111=""),"",Y111-W111)</x:f>
      </x:c>
      <x:c r="AC111" t="str">
        <x:f>IF(S111&lt;&gt;"Open","",IF(M111="","No deadline",IF(M111&lt;TODAY(),"OVERDUE",IF(M111&lt;=TODAY()+30,"Due ≤30d","Open"))))</x:f>
      </x:c>
      <x:c r="AF111" s="36"/>
    </x:row>
    <x:row r="112">
      <x:c r="G112" s="48"/>
      <x:c r="H112" s="36"/>
      <x:c r="I112" s="52"/>
      <x:c r="L112" s="50"/>
      <x:c r="M112" s="50"/>
      <x:c r="N112" s="36"/>
      <x:c r="O112" s="36"/>
      <x:c r="P112" s="36"/>
      <x:c r="Q112" s="36"/>
      <x:c r="R112" s="36"/>
      <x:c r="T112" s="50"/>
      <x:c r="U112" s="36"/>
      <x:c r="V112" t="str">
        <x:f>IF(S112="Resolved Hit",1,IF(S112="Resolved Miss",0,""))</x:f>
      </x:c>
      <x:c r="W112" s="54" t="str">
        <x:f>IF(OR(V112="",I112=""),"",((I112-V112)^2))</x:f>
      </x:c>
      <x:c r="X112" s="54"/>
      <x:c r="Y112" s="54" t="str">
        <x:f>IF(OR(V112="",X112=""),"",((X112-V112)^2))</x:f>
      </x:c>
      <x:c r="Z112" s="54" t="str">
        <x:f>IF(OR(W112="",Y112=""),"",Y112-W112)</x:f>
      </x:c>
      <x:c r="AC112" t="str">
        <x:f>IF(S112&lt;&gt;"Open","",IF(M112="","No deadline",IF(M112&lt;TODAY(),"OVERDUE",IF(M112&lt;=TODAY()+30,"Due ≤30d","Open"))))</x:f>
      </x:c>
      <x:c r="AF112" s="36"/>
    </x:row>
    <x:row r="113">
      <x:c r="G113" s="48"/>
      <x:c r="H113" s="36"/>
      <x:c r="I113" s="52"/>
      <x:c r="L113" s="50"/>
      <x:c r="M113" s="50"/>
      <x:c r="N113" s="36"/>
      <x:c r="O113" s="36"/>
      <x:c r="P113" s="36"/>
      <x:c r="Q113" s="36"/>
      <x:c r="R113" s="36"/>
      <x:c r="T113" s="50"/>
      <x:c r="U113" s="36"/>
      <x:c r="V113" t="str">
        <x:f>IF(S113="Resolved Hit",1,IF(S113="Resolved Miss",0,""))</x:f>
      </x:c>
      <x:c r="W113" s="54" t="str">
        <x:f>IF(OR(V113="",I113=""),"",((I113-V113)^2))</x:f>
      </x:c>
      <x:c r="X113" s="54"/>
      <x:c r="Y113" s="54" t="str">
        <x:f>IF(OR(V113="",X113=""),"",((X113-V113)^2))</x:f>
      </x:c>
      <x:c r="Z113" s="54" t="str">
        <x:f>IF(OR(W113="",Y113=""),"",Y113-W113)</x:f>
      </x:c>
      <x:c r="AC113" t="str">
        <x:f>IF(S113&lt;&gt;"Open","",IF(M113="","No deadline",IF(M113&lt;TODAY(),"OVERDUE",IF(M113&lt;=TODAY()+30,"Due ≤30d","Open"))))</x:f>
      </x:c>
      <x:c r="AF113" s="36"/>
    </x:row>
    <x:row r="114">
      <x:c r="G114" s="48"/>
      <x:c r="H114" s="36"/>
      <x:c r="I114" s="52"/>
      <x:c r="L114" s="50"/>
      <x:c r="M114" s="50"/>
      <x:c r="N114" s="36"/>
      <x:c r="O114" s="36"/>
      <x:c r="P114" s="36"/>
      <x:c r="Q114" s="36"/>
      <x:c r="R114" s="36"/>
      <x:c r="T114" s="50"/>
      <x:c r="U114" s="36"/>
      <x:c r="V114" t="str">
        <x:f>IF(S114="Resolved Hit",1,IF(S114="Resolved Miss",0,""))</x:f>
      </x:c>
      <x:c r="W114" s="54" t="str">
        <x:f>IF(OR(V114="",I114=""),"",((I114-V114)^2))</x:f>
      </x:c>
      <x:c r="X114" s="54"/>
      <x:c r="Y114" s="54" t="str">
        <x:f>IF(OR(V114="",X114=""),"",((X114-V114)^2))</x:f>
      </x:c>
      <x:c r="Z114" s="54" t="str">
        <x:f>IF(OR(W114="",Y114=""),"",Y114-W114)</x:f>
      </x:c>
      <x:c r="AC114" t="str">
        <x:f>IF(S114&lt;&gt;"Open","",IF(M114="","No deadline",IF(M114&lt;TODAY(),"OVERDUE",IF(M114&lt;=TODAY()+30,"Due ≤30d","Open"))))</x:f>
      </x:c>
      <x:c r="AF114" s="36"/>
    </x:row>
    <x:row r="115">
      <x:c r="G115" s="48"/>
      <x:c r="H115" s="36"/>
      <x:c r="I115" s="52"/>
      <x:c r="L115" s="50"/>
      <x:c r="M115" s="50"/>
      <x:c r="N115" s="36"/>
      <x:c r="O115" s="36"/>
      <x:c r="P115" s="36"/>
      <x:c r="Q115" s="36"/>
      <x:c r="R115" s="36"/>
      <x:c r="T115" s="50"/>
      <x:c r="U115" s="36"/>
      <x:c r="V115" t="str">
        <x:f>IF(S115="Resolved Hit",1,IF(S115="Resolved Miss",0,""))</x:f>
      </x:c>
      <x:c r="W115" s="54" t="str">
        <x:f>IF(OR(V115="",I115=""),"",((I115-V115)^2))</x:f>
      </x:c>
      <x:c r="X115" s="54"/>
      <x:c r="Y115" s="54" t="str">
        <x:f>IF(OR(V115="",X115=""),"",((X115-V115)^2))</x:f>
      </x:c>
      <x:c r="Z115" s="54" t="str">
        <x:f>IF(OR(W115="",Y115=""),"",Y115-W115)</x:f>
      </x:c>
      <x:c r="AC115" t="str">
        <x:f>IF(S115&lt;&gt;"Open","",IF(M115="","No deadline",IF(M115&lt;TODAY(),"OVERDUE",IF(M115&lt;=TODAY()+30,"Due ≤30d","Open"))))</x:f>
      </x:c>
      <x:c r="AF115" s="36"/>
    </x:row>
    <x:row r="116">
      <x:c r="G116" s="48"/>
      <x:c r="H116" s="36"/>
      <x:c r="I116" s="52"/>
      <x:c r="L116" s="50"/>
      <x:c r="M116" s="50"/>
      <x:c r="N116" s="36"/>
      <x:c r="O116" s="36"/>
      <x:c r="P116" s="36"/>
      <x:c r="Q116" s="36"/>
      <x:c r="R116" s="36"/>
      <x:c r="T116" s="50"/>
      <x:c r="U116" s="36"/>
      <x:c r="V116" t="str">
        <x:f>IF(S116="Resolved Hit",1,IF(S116="Resolved Miss",0,""))</x:f>
      </x:c>
      <x:c r="W116" s="54" t="str">
        <x:f>IF(OR(V116="",I116=""),"",((I116-V116)^2))</x:f>
      </x:c>
      <x:c r="X116" s="54"/>
      <x:c r="Y116" s="54" t="str">
        <x:f>IF(OR(V116="",X116=""),"",((X116-V116)^2))</x:f>
      </x:c>
      <x:c r="Z116" s="54" t="str">
        <x:f>IF(OR(W116="",Y116=""),"",Y116-W116)</x:f>
      </x:c>
      <x:c r="AC116" t="str">
        <x:f>IF(S116&lt;&gt;"Open","",IF(M116="","No deadline",IF(M116&lt;TODAY(),"OVERDUE",IF(M116&lt;=TODAY()+30,"Due ≤30d","Open"))))</x:f>
      </x:c>
      <x:c r="AF116" s="36"/>
    </x:row>
    <x:row r="117">
      <x:c r="G117" s="48"/>
      <x:c r="H117" s="36"/>
      <x:c r="I117" s="52"/>
      <x:c r="L117" s="50"/>
      <x:c r="M117" s="50"/>
      <x:c r="N117" s="36"/>
      <x:c r="O117" s="36"/>
      <x:c r="P117" s="36"/>
      <x:c r="Q117" s="36"/>
      <x:c r="R117" s="36"/>
      <x:c r="T117" s="50"/>
      <x:c r="U117" s="36"/>
      <x:c r="V117" t="str">
        <x:f>IF(S117="Resolved Hit",1,IF(S117="Resolved Miss",0,""))</x:f>
      </x:c>
      <x:c r="W117" s="54" t="str">
        <x:f>IF(OR(V117="",I117=""),"",((I117-V117)^2))</x:f>
      </x:c>
      <x:c r="X117" s="54"/>
      <x:c r="Y117" s="54" t="str">
        <x:f>IF(OR(V117="",X117=""),"",((X117-V117)^2))</x:f>
      </x:c>
      <x:c r="Z117" s="54" t="str">
        <x:f>IF(OR(W117="",Y117=""),"",Y117-W117)</x:f>
      </x:c>
      <x:c r="AC117" t="str">
        <x:f>IF(S117&lt;&gt;"Open","",IF(M117="","No deadline",IF(M117&lt;TODAY(),"OVERDUE",IF(M117&lt;=TODAY()+30,"Due ≤30d","Open"))))</x:f>
      </x:c>
      <x:c r="AF117" s="36"/>
    </x:row>
    <x:row r="118">
      <x:c r="G118" s="48"/>
      <x:c r="H118" s="36"/>
      <x:c r="I118" s="52"/>
      <x:c r="L118" s="50"/>
      <x:c r="M118" s="50"/>
      <x:c r="N118" s="36"/>
      <x:c r="O118" s="36"/>
      <x:c r="P118" s="36"/>
      <x:c r="Q118" s="36"/>
      <x:c r="R118" s="36"/>
      <x:c r="T118" s="50"/>
      <x:c r="U118" s="36"/>
      <x:c r="V118" t="str">
        <x:f>IF(S118="Resolved Hit",1,IF(S118="Resolved Miss",0,""))</x:f>
      </x:c>
      <x:c r="W118" s="54" t="str">
        <x:f>IF(OR(V118="",I118=""),"",((I118-V118)^2))</x:f>
      </x:c>
      <x:c r="X118" s="54"/>
      <x:c r="Y118" s="54" t="str">
        <x:f>IF(OR(V118="",X118=""),"",((X118-V118)^2))</x:f>
      </x:c>
      <x:c r="Z118" s="54" t="str">
        <x:f>IF(OR(W118="",Y118=""),"",Y118-W118)</x:f>
      </x:c>
      <x:c r="AC118" t="str">
        <x:f>IF(S118&lt;&gt;"Open","",IF(M118="","No deadline",IF(M118&lt;TODAY(),"OVERDUE",IF(M118&lt;=TODAY()+30,"Due ≤30d","Open"))))</x:f>
      </x:c>
      <x:c r="AF118" s="36"/>
    </x:row>
    <x:row r="119">
      <x:c r="G119" s="48"/>
      <x:c r="H119" s="36"/>
      <x:c r="I119" s="52"/>
      <x:c r="L119" s="50"/>
      <x:c r="M119" s="50"/>
      <x:c r="N119" s="36"/>
      <x:c r="O119" s="36"/>
      <x:c r="P119" s="36"/>
      <x:c r="Q119" s="36"/>
      <x:c r="R119" s="36"/>
      <x:c r="T119" s="50"/>
      <x:c r="U119" s="36"/>
      <x:c r="V119" t="str">
        <x:f>IF(S119="Resolved Hit",1,IF(S119="Resolved Miss",0,""))</x:f>
      </x:c>
      <x:c r="W119" s="54" t="str">
        <x:f>IF(OR(V119="",I119=""),"",((I119-V119)^2))</x:f>
      </x:c>
      <x:c r="X119" s="54"/>
      <x:c r="Y119" s="54" t="str">
        <x:f>IF(OR(V119="",X119=""),"",((X119-V119)^2))</x:f>
      </x:c>
      <x:c r="Z119" s="54" t="str">
        <x:f>IF(OR(W119="",Y119=""),"",Y119-W119)</x:f>
      </x:c>
      <x:c r="AC119" t="str">
        <x:f>IF(S119&lt;&gt;"Open","",IF(M119="","No deadline",IF(M119&lt;TODAY(),"OVERDUE",IF(M119&lt;=TODAY()+30,"Due ≤30d","Open"))))</x:f>
      </x:c>
      <x:c r="AF119" s="36"/>
    </x:row>
    <x:row r="120">
      <x:c r="G120" s="48"/>
      <x:c r="H120" s="36"/>
      <x:c r="I120" s="52"/>
      <x:c r="L120" s="50"/>
      <x:c r="M120" s="50"/>
      <x:c r="N120" s="36"/>
      <x:c r="O120" s="36"/>
      <x:c r="P120" s="36"/>
      <x:c r="Q120" s="36"/>
      <x:c r="R120" s="36"/>
      <x:c r="T120" s="50"/>
      <x:c r="U120" s="36"/>
      <x:c r="V120" t="str">
        <x:f>IF(S120="Resolved Hit",1,IF(S120="Resolved Miss",0,""))</x:f>
      </x:c>
      <x:c r="W120" s="54" t="str">
        <x:f>IF(OR(V120="",I120=""),"",((I120-V120)^2))</x:f>
      </x:c>
      <x:c r="X120" s="54"/>
      <x:c r="Y120" s="54" t="str">
        <x:f>IF(OR(V120="",X120=""),"",((X120-V120)^2))</x:f>
      </x:c>
      <x:c r="Z120" s="54" t="str">
        <x:f>IF(OR(W120="",Y120=""),"",Y120-W120)</x:f>
      </x:c>
      <x:c r="AC120" t="str">
        <x:f>IF(S120&lt;&gt;"Open","",IF(M120="","No deadline",IF(M120&lt;TODAY(),"OVERDUE",IF(M120&lt;=TODAY()+30,"Due ≤30d","Open"))))</x:f>
      </x:c>
      <x:c r="AF120" s="36"/>
    </x:row>
    <x:row r="121">
      <x:c r="G121" s="48"/>
      <x:c r="H121" s="36"/>
      <x:c r="I121" s="52"/>
      <x:c r="L121" s="50"/>
      <x:c r="M121" s="50"/>
      <x:c r="N121" s="36"/>
      <x:c r="O121" s="36"/>
      <x:c r="P121" s="36"/>
      <x:c r="Q121" s="36"/>
      <x:c r="R121" s="36"/>
      <x:c r="T121" s="50"/>
      <x:c r="U121" s="36"/>
      <x:c r="V121" t="str">
        <x:f>IF(S121="Resolved Hit",1,IF(S121="Resolved Miss",0,""))</x:f>
      </x:c>
      <x:c r="W121" s="54" t="str">
        <x:f>IF(OR(V121="",I121=""),"",((I121-V121)^2))</x:f>
      </x:c>
      <x:c r="X121" s="54"/>
      <x:c r="Y121" s="54" t="str">
        <x:f>IF(OR(V121="",X121=""),"",((X121-V121)^2))</x:f>
      </x:c>
      <x:c r="Z121" s="54" t="str">
        <x:f>IF(OR(W121="",Y121=""),"",Y121-W121)</x:f>
      </x:c>
      <x:c r="AC121" t="str">
        <x:f>IF(S121&lt;&gt;"Open","",IF(M121="","No deadline",IF(M121&lt;TODAY(),"OVERDUE",IF(M121&lt;=TODAY()+30,"Due ≤30d","Open"))))</x:f>
      </x:c>
      <x:c r="AF121" s="36"/>
    </x:row>
    <x:row r="122">
      <x:c r="G122" s="48"/>
      <x:c r="H122" s="36"/>
      <x:c r="I122" s="52"/>
      <x:c r="L122" s="50"/>
      <x:c r="M122" s="50"/>
      <x:c r="N122" s="36"/>
      <x:c r="O122" s="36"/>
      <x:c r="P122" s="36"/>
      <x:c r="Q122" s="36"/>
      <x:c r="R122" s="36"/>
      <x:c r="T122" s="50"/>
      <x:c r="U122" s="36"/>
      <x:c r="V122" t="str">
        <x:f>IF(S122="Resolved Hit",1,IF(S122="Resolved Miss",0,""))</x:f>
      </x:c>
      <x:c r="W122" s="54" t="str">
        <x:f>IF(OR(V122="",I122=""),"",((I122-V122)^2))</x:f>
      </x:c>
      <x:c r="X122" s="54"/>
      <x:c r="Y122" s="54" t="str">
        <x:f>IF(OR(V122="",X122=""),"",((X122-V122)^2))</x:f>
      </x:c>
      <x:c r="Z122" s="54" t="str">
        <x:f>IF(OR(W122="",Y122=""),"",Y122-W122)</x:f>
      </x:c>
      <x:c r="AC122" t="str">
        <x:f>IF(S122&lt;&gt;"Open","",IF(M122="","No deadline",IF(M122&lt;TODAY(),"OVERDUE",IF(M122&lt;=TODAY()+30,"Due ≤30d","Open"))))</x:f>
      </x:c>
      <x:c r="AF122" s="36"/>
    </x:row>
    <x:row r="123">
      <x:c r="G123" s="48"/>
      <x:c r="H123" s="36"/>
      <x:c r="I123" s="52"/>
      <x:c r="L123" s="50"/>
      <x:c r="M123" s="50"/>
      <x:c r="N123" s="36"/>
      <x:c r="O123" s="36"/>
      <x:c r="P123" s="36"/>
      <x:c r="Q123" s="36"/>
      <x:c r="R123" s="36"/>
      <x:c r="T123" s="50"/>
      <x:c r="U123" s="36"/>
      <x:c r="V123" t="str">
        <x:f>IF(S123="Resolved Hit",1,IF(S123="Resolved Miss",0,""))</x:f>
      </x:c>
      <x:c r="W123" s="54" t="str">
        <x:f>IF(OR(V123="",I123=""),"",((I123-V123)^2))</x:f>
      </x:c>
      <x:c r="X123" s="54"/>
      <x:c r="Y123" s="54" t="str">
        <x:f>IF(OR(V123="",X123=""),"",((X123-V123)^2))</x:f>
      </x:c>
      <x:c r="Z123" s="54" t="str">
        <x:f>IF(OR(W123="",Y123=""),"",Y123-W123)</x:f>
      </x:c>
      <x:c r="AC123" t="str">
        <x:f>IF(S123&lt;&gt;"Open","",IF(M123="","No deadline",IF(M123&lt;TODAY(),"OVERDUE",IF(M123&lt;=TODAY()+30,"Due ≤30d","Open"))))</x:f>
      </x:c>
      <x:c r="AF123" s="36"/>
    </x:row>
    <x:row r="124">
      <x:c r="G124" s="48"/>
      <x:c r="H124" s="36"/>
      <x:c r="I124" s="52"/>
      <x:c r="L124" s="50"/>
      <x:c r="M124" s="50"/>
      <x:c r="N124" s="36"/>
      <x:c r="O124" s="36"/>
      <x:c r="P124" s="36"/>
      <x:c r="Q124" s="36"/>
      <x:c r="R124" s="36"/>
      <x:c r="T124" s="50"/>
      <x:c r="U124" s="36"/>
      <x:c r="V124" t="str">
        <x:f>IF(S124="Resolved Hit",1,IF(S124="Resolved Miss",0,""))</x:f>
      </x:c>
      <x:c r="W124" s="54" t="str">
        <x:f>IF(OR(V124="",I124=""),"",((I124-V124)^2))</x:f>
      </x:c>
      <x:c r="X124" s="54"/>
      <x:c r="Y124" s="54" t="str">
        <x:f>IF(OR(V124="",X124=""),"",((X124-V124)^2))</x:f>
      </x:c>
      <x:c r="Z124" s="54" t="str">
        <x:f>IF(OR(W124="",Y124=""),"",Y124-W124)</x:f>
      </x:c>
      <x:c r="AC124" t="str">
        <x:f>IF(S124&lt;&gt;"Open","",IF(M124="","No deadline",IF(M124&lt;TODAY(),"OVERDUE",IF(M124&lt;=TODAY()+30,"Due ≤30d","Open"))))</x:f>
      </x:c>
      <x:c r="AF124" s="36"/>
    </x:row>
    <x:row r="125">
      <x:c r="G125" s="48"/>
      <x:c r="H125" s="36"/>
      <x:c r="I125" s="52"/>
      <x:c r="L125" s="50"/>
      <x:c r="M125" s="50"/>
      <x:c r="N125" s="36"/>
      <x:c r="O125" s="36"/>
      <x:c r="P125" s="36"/>
      <x:c r="Q125" s="36"/>
      <x:c r="R125" s="36"/>
      <x:c r="T125" s="50"/>
      <x:c r="U125" s="36"/>
      <x:c r="V125" t="str">
        <x:f>IF(S125="Resolved Hit",1,IF(S125="Resolved Miss",0,""))</x:f>
      </x:c>
      <x:c r="W125" s="54" t="str">
        <x:f>IF(OR(V125="",I125=""),"",((I125-V125)^2))</x:f>
      </x:c>
      <x:c r="X125" s="54"/>
      <x:c r="Y125" s="54" t="str">
        <x:f>IF(OR(V125="",X125=""),"",((X125-V125)^2))</x:f>
      </x:c>
      <x:c r="Z125" s="54" t="str">
        <x:f>IF(OR(W125="",Y125=""),"",Y125-W125)</x:f>
      </x:c>
      <x:c r="AC125" t="str">
        <x:f>IF(S125&lt;&gt;"Open","",IF(M125="","No deadline",IF(M125&lt;TODAY(),"OVERDUE",IF(M125&lt;=TODAY()+30,"Due ≤30d","Open"))))</x:f>
      </x:c>
      <x:c r="AF125" s="36"/>
    </x:row>
    <x:row r="126">
      <x:c r="G126" s="48"/>
      <x:c r="H126" s="36"/>
      <x:c r="I126" s="52"/>
      <x:c r="L126" s="50"/>
      <x:c r="M126" s="50"/>
      <x:c r="N126" s="36"/>
      <x:c r="O126" s="36"/>
      <x:c r="P126" s="36"/>
      <x:c r="Q126" s="36"/>
      <x:c r="R126" s="36"/>
      <x:c r="T126" s="50"/>
      <x:c r="U126" s="36"/>
      <x:c r="V126" t="str">
        <x:f>IF(S126="Resolved Hit",1,IF(S126="Resolved Miss",0,""))</x:f>
      </x:c>
      <x:c r="W126" s="54" t="str">
        <x:f>IF(OR(V126="",I126=""),"",((I126-V126)^2))</x:f>
      </x:c>
      <x:c r="X126" s="54"/>
      <x:c r="Y126" s="54" t="str">
        <x:f>IF(OR(V126="",X126=""),"",((X126-V126)^2))</x:f>
      </x:c>
      <x:c r="Z126" s="54" t="str">
        <x:f>IF(OR(W126="",Y126=""),"",Y126-W126)</x:f>
      </x:c>
      <x:c r="AC126" t="str">
        <x:f>IF(S126&lt;&gt;"Open","",IF(M126="","No deadline",IF(M126&lt;TODAY(),"OVERDUE",IF(M126&lt;=TODAY()+30,"Due ≤30d","Open"))))</x:f>
      </x:c>
      <x:c r="AF126" s="36"/>
    </x:row>
    <x:row r="127">
      <x:c r="G127" s="48"/>
      <x:c r="H127" s="36"/>
      <x:c r="I127" s="52"/>
      <x:c r="L127" s="50"/>
      <x:c r="M127" s="50"/>
      <x:c r="N127" s="36"/>
      <x:c r="O127" s="36"/>
      <x:c r="P127" s="36"/>
      <x:c r="Q127" s="36"/>
      <x:c r="R127" s="36"/>
      <x:c r="T127" s="50"/>
      <x:c r="U127" s="36"/>
      <x:c r="V127" t="str">
        <x:f>IF(S127="Resolved Hit",1,IF(S127="Resolved Miss",0,""))</x:f>
      </x:c>
      <x:c r="W127" s="54" t="str">
        <x:f>IF(OR(V127="",I127=""),"",((I127-V127)^2))</x:f>
      </x:c>
      <x:c r="X127" s="54"/>
      <x:c r="Y127" s="54" t="str">
        <x:f>IF(OR(V127="",X127=""),"",((X127-V127)^2))</x:f>
      </x:c>
      <x:c r="Z127" s="54" t="str">
        <x:f>IF(OR(W127="",Y127=""),"",Y127-W127)</x:f>
      </x:c>
      <x:c r="AC127" t="str">
        <x:f>IF(S127&lt;&gt;"Open","",IF(M127="","No deadline",IF(M127&lt;TODAY(),"OVERDUE",IF(M127&lt;=TODAY()+30,"Due ≤30d","Open"))))</x:f>
      </x:c>
      <x:c r="AF127" s="36"/>
    </x:row>
    <x:row r="128">
      <x:c r="G128" s="48"/>
      <x:c r="H128" s="36"/>
      <x:c r="I128" s="52"/>
      <x:c r="L128" s="50"/>
      <x:c r="M128" s="50"/>
      <x:c r="N128" s="36"/>
      <x:c r="O128" s="36"/>
      <x:c r="P128" s="36"/>
      <x:c r="Q128" s="36"/>
      <x:c r="R128" s="36"/>
      <x:c r="T128" s="50"/>
      <x:c r="U128" s="36"/>
      <x:c r="V128" t="str">
        <x:f>IF(S128="Resolved Hit",1,IF(S128="Resolved Miss",0,""))</x:f>
      </x:c>
      <x:c r="W128" s="54" t="str">
        <x:f>IF(OR(V128="",I128=""),"",((I128-V128)^2))</x:f>
      </x:c>
      <x:c r="X128" s="54"/>
      <x:c r="Y128" s="54" t="str">
        <x:f>IF(OR(V128="",X128=""),"",((X128-V128)^2))</x:f>
      </x:c>
      <x:c r="Z128" s="54" t="str">
        <x:f>IF(OR(W128="",Y128=""),"",Y128-W128)</x:f>
      </x:c>
      <x:c r="AC128" t="str">
        <x:f>IF(S128&lt;&gt;"Open","",IF(M128="","No deadline",IF(M128&lt;TODAY(),"OVERDUE",IF(M128&lt;=TODAY()+30,"Due ≤30d","Open"))))</x:f>
      </x:c>
      <x:c r="AF128" s="36"/>
    </x:row>
    <x:row r="129">
      <x:c r="G129" s="48"/>
      <x:c r="H129" s="36"/>
      <x:c r="I129" s="52"/>
      <x:c r="L129" s="50"/>
      <x:c r="M129" s="50"/>
      <x:c r="N129" s="36"/>
      <x:c r="O129" s="36"/>
      <x:c r="P129" s="36"/>
      <x:c r="Q129" s="36"/>
      <x:c r="R129" s="36"/>
      <x:c r="T129" s="50"/>
      <x:c r="U129" s="36"/>
      <x:c r="V129" t="str">
        <x:f>IF(S129="Resolved Hit",1,IF(S129="Resolved Miss",0,""))</x:f>
      </x:c>
      <x:c r="W129" s="54" t="str">
        <x:f>IF(OR(V129="",I129=""),"",((I129-V129)^2))</x:f>
      </x:c>
      <x:c r="X129" s="54"/>
      <x:c r="Y129" s="54" t="str">
        <x:f>IF(OR(V129="",X129=""),"",((X129-V129)^2))</x:f>
      </x:c>
      <x:c r="Z129" s="54" t="str">
        <x:f>IF(OR(W129="",Y129=""),"",Y129-W129)</x:f>
      </x:c>
      <x:c r="AC129" t="str">
        <x:f>IF(S129&lt;&gt;"Open","",IF(M129="","No deadline",IF(M129&lt;TODAY(),"OVERDUE",IF(M129&lt;=TODAY()+30,"Due ≤30d","Open"))))</x:f>
      </x:c>
      <x:c r="AF129" s="36"/>
    </x:row>
    <x:row r="130">
      <x:c r="G130" s="48"/>
      <x:c r="H130" s="36"/>
      <x:c r="I130" s="52"/>
      <x:c r="L130" s="50"/>
      <x:c r="M130" s="50"/>
      <x:c r="N130" s="36"/>
      <x:c r="O130" s="36"/>
      <x:c r="P130" s="36"/>
      <x:c r="Q130" s="36"/>
      <x:c r="R130" s="36"/>
      <x:c r="T130" s="50"/>
      <x:c r="U130" s="36"/>
      <x:c r="V130" t="str">
        <x:f>IF(S130="Resolved Hit",1,IF(S130="Resolved Miss",0,""))</x:f>
      </x:c>
      <x:c r="W130" s="54" t="str">
        <x:f>IF(OR(V130="",I130=""),"",((I130-V130)^2))</x:f>
      </x:c>
      <x:c r="X130" s="54"/>
      <x:c r="Y130" s="54" t="str">
        <x:f>IF(OR(V130="",X130=""),"",((X130-V130)^2))</x:f>
      </x:c>
      <x:c r="Z130" s="54" t="str">
        <x:f>IF(OR(W130="",Y130=""),"",Y130-W130)</x:f>
      </x:c>
      <x:c r="AC130" t="str">
        <x:f>IF(S130&lt;&gt;"Open","",IF(M130="","No deadline",IF(M130&lt;TODAY(),"OVERDUE",IF(M130&lt;=TODAY()+30,"Due ≤30d","Open"))))</x:f>
      </x:c>
      <x:c r="AF130" s="36"/>
    </x:row>
    <x:row r="131">
      <x:c r="G131" s="48"/>
      <x:c r="H131" s="36"/>
      <x:c r="I131" s="52"/>
      <x:c r="L131" s="50"/>
      <x:c r="M131" s="50"/>
      <x:c r="N131" s="36"/>
      <x:c r="O131" s="36"/>
      <x:c r="P131" s="36"/>
      <x:c r="Q131" s="36"/>
      <x:c r="R131" s="36"/>
      <x:c r="T131" s="50"/>
      <x:c r="U131" s="36"/>
      <x:c r="V131" t="str">
        <x:f>IF(S131="Resolved Hit",1,IF(S131="Resolved Miss",0,""))</x:f>
      </x:c>
      <x:c r="W131" s="54" t="str">
        <x:f>IF(OR(V131="",I131=""),"",((I131-V131)^2))</x:f>
      </x:c>
      <x:c r="X131" s="54"/>
      <x:c r="Y131" s="54" t="str">
        <x:f>IF(OR(V131="",X131=""),"",((X131-V131)^2))</x:f>
      </x:c>
      <x:c r="Z131" s="54" t="str">
        <x:f>IF(OR(W131="",Y131=""),"",Y131-W131)</x:f>
      </x:c>
      <x:c r="AC131" t="str">
        <x:f>IF(S131&lt;&gt;"Open","",IF(M131="","No deadline",IF(M131&lt;TODAY(),"OVERDUE",IF(M131&lt;=TODAY()+30,"Due ≤30d","Open"))))</x:f>
      </x:c>
      <x:c r="AF131" s="36"/>
    </x:row>
    <x:row r="132">
      <x:c r="G132" s="48"/>
      <x:c r="H132" s="36"/>
      <x:c r="I132" s="52"/>
      <x:c r="L132" s="50"/>
      <x:c r="M132" s="50"/>
      <x:c r="N132" s="36"/>
      <x:c r="O132" s="36"/>
      <x:c r="P132" s="36"/>
      <x:c r="Q132" s="36"/>
      <x:c r="R132" s="36"/>
      <x:c r="T132" s="50"/>
      <x:c r="U132" s="36"/>
      <x:c r="V132" t="str">
        <x:f>IF(S132="Resolved Hit",1,IF(S132="Resolved Miss",0,""))</x:f>
      </x:c>
      <x:c r="W132" s="54" t="str">
        <x:f>IF(OR(V132="",I132=""),"",((I132-V132)^2))</x:f>
      </x:c>
      <x:c r="X132" s="54"/>
      <x:c r="Y132" s="54" t="str">
        <x:f>IF(OR(V132="",X132=""),"",((X132-V132)^2))</x:f>
      </x:c>
      <x:c r="Z132" s="54" t="str">
        <x:f>IF(OR(W132="",Y132=""),"",Y132-W132)</x:f>
      </x:c>
      <x:c r="AC132" t="str">
        <x:f>IF(S132&lt;&gt;"Open","",IF(M132="","No deadline",IF(M132&lt;TODAY(),"OVERDUE",IF(M132&lt;=TODAY()+30,"Due ≤30d","Open"))))</x:f>
      </x:c>
      <x:c r="AF132" s="36"/>
    </x:row>
    <x:row r="133">
      <x:c r="G133" s="48"/>
      <x:c r="H133" s="36"/>
      <x:c r="I133" s="52"/>
      <x:c r="L133" s="50"/>
      <x:c r="M133" s="50"/>
      <x:c r="N133" s="36"/>
      <x:c r="O133" s="36"/>
      <x:c r="P133" s="36"/>
      <x:c r="Q133" s="36"/>
      <x:c r="R133" s="36"/>
      <x:c r="T133" s="50"/>
      <x:c r="U133" s="36"/>
      <x:c r="V133" t="str">
        <x:f>IF(S133="Resolved Hit",1,IF(S133="Resolved Miss",0,""))</x:f>
      </x:c>
      <x:c r="W133" s="54" t="str">
        <x:f>IF(OR(V133="",I133=""),"",((I133-V133)^2))</x:f>
      </x:c>
      <x:c r="X133" s="54"/>
      <x:c r="Y133" s="54" t="str">
        <x:f>IF(OR(V133="",X133=""),"",((X133-V133)^2))</x:f>
      </x:c>
      <x:c r="Z133" s="54" t="str">
        <x:f>IF(OR(W133="",Y133=""),"",Y133-W133)</x:f>
      </x:c>
      <x:c r="AC133" t="str">
        <x:f>IF(S133&lt;&gt;"Open","",IF(M133="","No deadline",IF(M133&lt;TODAY(),"OVERDUE",IF(M133&lt;=TODAY()+30,"Due ≤30d","Open"))))</x:f>
      </x:c>
      <x:c r="AF133" s="36"/>
    </x:row>
    <x:row r="134">
      <x:c r="G134" s="48"/>
      <x:c r="H134" s="36"/>
      <x:c r="I134" s="52"/>
      <x:c r="L134" s="50"/>
      <x:c r="M134" s="50"/>
      <x:c r="N134" s="36"/>
      <x:c r="O134" s="36"/>
      <x:c r="P134" s="36"/>
      <x:c r="Q134" s="36"/>
      <x:c r="R134" s="36"/>
      <x:c r="T134" s="50"/>
      <x:c r="U134" s="36"/>
      <x:c r="V134" t="str">
        <x:f>IF(S134="Resolved Hit",1,IF(S134="Resolved Miss",0,""))</x:f>
      </x:c>
      <x:c r="W134" s="54" t="str">
        <x:f>IF(OR(V134="",I134=""),"",((I134-V134)^2))</x:f>
      </x:c>
      <x:c r="X134" s="54"/>
      <x:c r="Y134" s="54" t="str">
        <x:f>IF(OR(V134="",X134=""),"",((X134-V134)^2))</x:f>
      </x:c>
      <x:c r="Z134" s="54" t="str">
        <x:f>IF(OR(W134="",Y134=""),"",Y134-W134)</x:f>
      </x:c>
      <x:c r="AC134" t="str">
        <x:f>IF(S134&lt;&gt;"Open","",IF(M134="","No deadline",IF(M134&lt;TODAY(),"OVERDUE",IF(M134&lt;=TODAY()+30,"Due ≤30d","Open"))))</x:f>
      </x:c>
      <x:c r="AF134" s="36"/>
    </x:row>
    <x:row r="135">
      <x:c r="G135" s="48"/>
      <x:c r="H135" s="36"/>
      <x:c r="I135" s="52"/>
      <x:c r="L135" s="50"/>
      <x:c r="M135" s="50"/>
      <x:c r="N135" s="36"/>
      <x:c r="O135" s="36"/>
      <x:c r="P135" s="36"/>
      <x:c r="Q135" s="36"/>
      <x:c r="R135" s="36"/>
      <x:c r="T135" s="50"/>
      <x:c r="U135" s="36"/>
      <x:c r="V135" t="str">
        <x:f>IF(S135="Resolved Hit",1,IF(S135="Resolved Miss",0,""))</x:f>
      </x:c>
      <x:c r="W135" s="54" t="str">
        <x:f>IF(OR(V135="",I135=""),"",((I135-V135)^2))</x:f>
      </x:c>
      <x:c r="X135" s="54"/>
      <x:c r="Y135" s="54" t="str">
        <x:f>IF(OR(V135="",X135=""),"",((X135-V135)^2))</x:f>
      </x:c>
      <x:c r="Z135" s="54" t="str">
        <x:f>IF(OR(W135="",Y135=""),"",Y135-W135)</x:f>
      </x:c>
      <x:c r="AC135" t="str">
        <x:f>IF(S135&lt;&gt;"Open","",IF(M135="","No deadline",IF(M135&lt;TODAY(),"OVERDUE",IF(M135&lt;=TODAY()+30,"Due ≤30d","Open"))))</x:f>
      </x:c>
      <x:c r="AF135" s="36"/>
    </x:row>
    <x:row r="136">
      <x:c r="G136" s="48"/>
      <x:c r="H136" s="36"/>
      <x:c r="I136" s="52"/>
      <x:c r="L136" s="50"/>
      <x:c r="M136" s="50"/>
      <x:c r="N136" s="36"/>
      <x:c r="O136" s="36"/>
      <x:c r="P136" s="36"/>
      <x:c r="Q136" s="36"/>
      <x:c r="R136" s="36"/>
      <x:c r="T136" s="50"/>
      <x:c r="U136" s="36"/>
      <x:c r="V136" t="str">
        <x:f>IF(S136="Resolved Hit",1,IF(S136="Resolved Miss",0,""))</x:f>
      </x:c>
      <x:c r="W136" s="54" t="str">
        <x:f>IF(OR(V136="",I136=""),"",((I136-V136)^2))</x:f>
      </x:c>
      <x:c r="X136" s="54"/>
      <x:c r="Y136" s="54" t="str">
        <x:f>IF(OR(V136="",X136=""),"",((X136-V136)^2))</x:f>
      </x:c>
      <x:c r="Z136" s="54" t="str">
        <x:f>IF(OR(W136="",Y136=""),"",Y136-W136)</x:f>
      </x:c>
      <x:c r="AC136" t="str">
        <x:f>IF(S136&lt;&gt;"Open","",IF(M136="","No deadline",IF(M136&lt;TODAY(),"OVERDUE",IF(M136&lt;=TODAY()+30,"Due ≤30d","Open"))))</x:f>
      </x:c>
      <x:c r="AF136" s="36"/>
    </x:row>
    <x:row r="137">
      <x:c r="G137" s="48"/>
      <x:c r="H137" s="36"/>
      <x:c r="I137" s="52"/>
      <x:c r="L137" s="50"/>
      <x:c r="M137" s="50"/>
      <x:c r="N137" s="36"/>
      <x:c r="O137" s="36"/>
      <x:c r="P137" s="36"/>
      <x:c r="Q137" s="36"/>
      <x:c r="R137" s="36"/>
      <x:c r="T137" s="50"/>
      <x:c r="U137" s="36"/>
      <x:c r="V137" t="str">
        <x:f>IF(S137="Resolved Hit",1,IF(S137="Resolved Miss",0,""))</x:f>
      </x:c>
      <x:c r="W137" s="54" t="str">
        <x:f>IF(OR(V137="",I137=""),"",((I137-V137)^2))</x:f>
      </x:c>
      <x:c r="X137" s="54"/>
      <x:c r="Y137" s="54" t="str">
        <x:f>IF(OR(V137="",X137=""),"",((X137-V137)^2))</x:f>
      </x:c>
      <x:c r="Z137" s="54" t="str">
        <x:f>IF(OR(W137="",Y137=""),"",Y137-W137)</x:f>
      </x:c>
      <x:c r="AC137" t="str">
        <x:f>IF(S137&lt;&gt;"Open","",IF(M137="","No deadline",IF(M137&lt;TODAY(),"OVERDUE",IF(M137&lt;=TODAY()+30,"Due ≤30d","Open"))))</x:f>
      </x:c>
      <x:c r="AF137" s="36"/>
    </x:row>
    <x:row r="138">
      <x:c r="G138" s="48"/>
      <x:c r="H138" s="36"/>
      <x:c r="I138" s="52"/>
      <x:c r="L138" s="50"/>
      <x:c r="M138" s="50"/>
      <x:c r="N138" s="36"/>
      <x:c r="O138" s="36"/>
      <x:c r="P138" s="36"/>
      <x:c r="Q138" s="36"/>
      <x:c r="R138" s="36"/>
      <x:c r="T138" s="50"/>
      <x:c r="U138" s="36"/>
      <x:c r="V138" t="str">
        <x:f>IF(S138="Resolved Hit",1,IF(S138="Resolved Miss",0,""))</x:f>
      </x:c>
      <x:c r="W138" s="54" t="str">
        <x:f>IF(OR(V138="",I138=""),"",((I138-V138)^2))</x:f>
      </x:c>
      <x:c r="X138" s="54"/>
      <x:c r="Y138" s="54" t="str">
        <x:f>IF(OR(V138="",X138=""),"",((X138-V138)^2))</x:f>
      </x:c>
      <x:c r="Z138" s="54" t="str">
        <x:f>IF(OR(W138="",Y138=""),"",Y138-W138)</x:f>
      </x:c>
      <x:c r="AC138" t="str">
        <x:f>IF(S138&lt;&gt;"Open","",IF(M138="","No deadline",IF(M138&lt;TODAY(),"OVERDUE",IF(M138&lt;=TODAY()+30,"Due ≤30d","Open"))))</x:f>
      </x:c>
      <x:c r="AF138" s="36"/>
    </x:row>
    <x:row r="139">
      <x:c r="G139" s="48"/>
      <x:c r="H139" s="36"/>
      <x:c r="I139" s="52"/>
      <x:c r="L139" s="50"/>
      <x:c r="M139" s="50"/>
      <x:c r="N139" s="36"/>
      <x:c r="O139" s="36"/>
      <x:c r="P139" s="36"/>
      <x:c r="Q139" s="36"/>
      <x:c r="R139" s="36"/>
      <x:c r="T139" s="50"/>
      <x:c r="U139" s="36"/>
      <x:c r="V139" t="str">
        <x:f>IF(S139="Resolved Hit",1,IF(S139="Resolved Miss",0,""))</x:f>
      </x:c>
      <x:c r="W139" s="54" t="str">
        <x:f>IF(OR(V139="",I139=""),"",((I139-V139)^2))</x:f>
      </x:c>
      <x:c r="X139" s="54"/>
      <x:c r="Y139" s="54" t="str">
        <x:f>IF(OR(V139="",X139=""),"",((X139-V139)^2))</x:f>
      </x:c>
      <x:c r="Z139" s="54" t="str">
        <x:f>IF(OR(W139="",Y139=""),"",Y139-W139)</x:f>
      </x:c>
      <x:c r="AC139" t="str">
        <x:f>IF(S139&lt;&gt;"Open","",IF(M139="","No deadline",IF(M139&lt;TODAY(),"OVERDUE",IF(M139&lt;=TODAY()+30,"Due ≤30d","Open"))))</x:f>
      </x:c>
      <x:c r="AF139" s="36"/>
    </x:row>
    <x:row r="140">
      <x:c r="G140" s="48"/>
      <x:c r="H140" s="36"/>
      <x:c r="I140" s="52"/>
      <x:c r="L140" s="50"/>
      <x:c r="M140" s="50"/>
      <x:c r="N140" s="36"/>
      <x:c r="O140" s="36"/>
      <x:c r="P140" s="36"/>
      <x:c r="Q140" s="36"/>
      <x:c r="R140" s="36"/>
      <x:c r="T140" s="50"/>
      <x:c r="U140" s="36"/>
      <x:c r="V140" t="str">
        <x:f>IF(S140="Resolved Hit",1,IF(S140="Resolved Miss",0,""))</x:f>
      </x:c>
      <x:c r="W140" s="54" t="str">
        <x:f>IF(OR(V140="",I140=""),"",((I140-V140)^2))</x:f>
      </x:c>
      <x:c r="X140" s="54"/>
      <x:c r="Y140" s="54" t="str">
        <x:f>IF(OR(V140="",X140=""),"",((X140-V140)^2))</x:f>
      </x:c>
      <x:c r="Z140" s="54" t="str">
        <x:f>IF(OR(W140="",Y140=""),"",Y140-W140)</x:f>
      </x:c>
      <x:c r="AC140" t="str">
        <x:f>IF(S140&lt;&gt;"Open","",IF(M140="","No deadline",IF(M140&lt;TODAY(),"OVERDUE",IF(M140&lt;=TODAY()+30,"Due ≤30d","Open"))))</x:f>
      </x:c>
      <x:c r="AF140" s="36"/>
    </x:row>
    <x:row r="141">
      <x:c r="G141" s="48"/>
      <x:c r="H141" s="36"/>
      <x:c r="I141" s="52"/>
      <x:c r="L141" s="50"/>
      <x:c r="M141" s="50"/>
      <x:c r="N141" s="36"/>
      <x:c r="O141" s="36"/>
      <x:c r="P141" s="36"/>
      <x:c r="Q141" s="36"/>
      <x:c r="R141" s="36"/>
      <x:c r="T141" s="50"/>
      <x:c r="U141" s="36"/>
      <x:c r="V141" t="str">
        <x:f>IF(S141="Resolved Hit",1,IF(S141="Resolved Miss",0,""))</x:f>
      </x:c>
      <x:c r="W141" s="54" t="str">
        <x:f>IF(OR(V141="",I141=""),"",((I141-V141)^2))</x:f>
      </x:c>
      <x:c r="X141" s="54"/>
      <x:c r="Y141" s="54" t="str">
        <x:f>IF(OR(V141="",X141=""),"",((X141-V141)^2))</x:f>
      </x:c>
      <x:c r="Z141" s="54" t="str">
        <x:f>IF(OR(W141="",Y141=""),"",Y141-W141)</x:f>
      </x:c>
      <x:c r="AC141" t="str">
        <x:f>IF(S141&lt;&gt;"Open","",IF(M141="","No deadline",IF(M141&lt;TODAY(),"OVERDUE",IF(M141&lt;=TODAY()+30,"Due ≤30d","Open"))))</x:f>
      </x:c>
      <x:c r="AF141" s="36"/>
    </x:row>
    <x:row r="142">
      <x:c r="G142" s="48"/>
      <x:c r="H142" s="36"/>
      <x:c r="I142" s="52"/>
      <x:c r="L142" s="50"/>
      <x:c r="M142" s="50"/>
      <x:c r="N142" s="36"/>
      <x:c r="O142" s="36"/>
      <x:c r="P142" s="36"/>
      <x:c r="Q142" s="36"/>
      <x:c r="R142" s="36"/>
      <x:c r="T142" s="50"/>
      <x:c r="U142" s="36"/>
      <x:c r="V142" t="str">
        <x:f>IF(S142="Resolved Hit",1,IF(S142="Resolved Miss",0,""))</x:f>
      </x:c>
      <x:c r="W142" s="54" t="str">
        <x:f>IF(OR(V142="",I142=""),"",((I142-V142)^2))</x:f>
      </x:c>
      <x:c r="X142" s="54"/>
      <x:c r="Y142" s="54" t="str">
        <x:f>IF(OR(V142="",X142=""),"",((X142-V142)^2))</x:f>
      </x:c>
      <x:c r="Z142" s="54" t="str">
        <x:f>IF(OR(W142="",Y142=""),"",Y142-W142)</x:f>
      </x:c>
      <x:c r="AC142" t="str">
        <x:f>IF(S142&lt;&gt;"Open","",IF(M142="","No deadline",IF(M142&lt;TODAY(),"OVERDUE",IF(M142&lt;=TODAY()+30,"Due ≤30d","Open"))))</x:f>
      </x:c>
      <x:c r="AF142" s="36"/>
    </x:row>
    <x:row r="143">
      <x:c r="G143" s="48"/>
      <x:c r="H143" s="36"/>
      <x:c r="I143" s="52"/>
      <x:c r="L143" s="50"/>
      <x:c r="M143" s="50"/>
      <x:c r="N143" s="36"/>
      <x:c r="O143" s="36"/>
      <x:c r="P143" s="36"/>
      <x:c r="Q143" s="36"/>
      <x:c r="R143" s="36"/>
      <x:c r="T143" s="50"/>
      <x:c r="U143" s="36"/>
      <x:c r="V143" t="str">
        <x:f>IF(S143="Resolved Hit",1,IF(S143="Resolved Miss",0,""))</x:f>
      </x:c>
      <x:c r="W143" s="54" t="str">
        <x:f>IF(OR(V143="",I143=""),"",((I143-V143)^2))</x:f>
      </x:c>
      <x:c r="X143" s="54"/>
      <x:c r="Y143" s="54" t="str">
        <x:f>IF(OR(V143="",X143=""),"",((X143-V143)^2))</x:f>
      </x:c>
      <x:c r="Z143" s="54" t="str">
        <x:f>IF(OR(W143="",Y143=""),"",Y143-W143)</x:f>
      </x:c>
      <x:c r="AC143" t="str">
        <x:f>IF(S143&lt;&gt;"Open","",IF(M143="","No deadline",IF(M143&lt;TODAY(),"OVERDUE",IF(M143&lt;=TODAY()+30,"Due ≤30d","Open"))))</x:f>
      </x:c>
      <x:c r="AF143" s="36"/>
    </x:row>
    <x:row r="144">
      <x:c r="G144" s="48"/>
      <x:c r="H144" s="36"/>
      <x:c r="I144" s="52"/>
      <x:c r="L144" s="50"/>
      <x:c r="M144" s="50"/>
      <x:c r="N144" s="36"/>
      <x:c r="O144" s="36"/>
      <x:c r="P144" s="36"/>
      <x:c r="Q144" s="36"/>
      <x:c r="R144" s="36"/>
      <x:c r="T144" s="50"/>
      <x:c r="U144" s="36"/>
      <x:c r="V144" t="str">
        <x:f>IF(S144="Resolved Hit",1,IF(S144="Resolved Miss",0,""))</x:f>
      </x:c>
      <x:c r="W144" s="54" t="str">
        <x:f>IF(OR(V144="",I144=""),"",((I144-V144)^2))</x:f>
      </x:c>
      <x:c r="X144" s="54"/>
      <x:c r="Y144" s="54" t="str">
        <x:f>IF(OR(V144="",X144=""),"",((X144-V144)^2))</x:f>
      </x:c>
      <x:c r="Z144" s="54" t="str">
        <x:f>IF(OR(W144="",Y144=""),"",Y144-W144)</x:f>
      </x:c>
      <x:c r="AC144" t="str">
        <x:f>IF(S144&lt;&gt;"Open","",IF(M144="","No deadline",IF(M144&lt;TODAY(),"OVERDUE",IF(M144&lt;=TODAY()+30,"Due ≤30d","Open"))))</x:f>
      </x:c>
      <x:c r="AF144" s="36"/>
    </x:row>
    <x:row r="145">
      <x:c r="G145" s="48"/>
      <x:c r="H145" s="36"/>
      <x:c r="I145" s="52"/>
      <x:c r="L145" s="50"/>
      <x:c r="M145" s="50"/>
      <x:c r="N145" s="36"/>
      <x:c r="O145" s="36"/>
      <x:c r="P145" s="36"/>
      <x:c r="Q145" s="36"/>
      <x:c r="R145" s="36"/>
      <x:c r="T145" s="50"/>
      <x:c r="U145" s="36"/>
      <x:c r="V145" t="str">
        <x:f>IF(S145="Resolved Hit",1,IF(S145="Resolved Miss",0,""))</x:f>
      </x:c>
      <x:c r="W145" s="54" t="str">
        <x:f>IF(OR(V145="",I145=""),"",((I145-V145)^2))</x:f>
      </x:c>
      <x:c r="X145" s="54"/>
      <x:c r="Y145" s="54" t="str">
        <x:f>IF(OR(V145="",X145=""),"",((X145-V145)^2))</x:f>
      </x:c>
      <x:c r="Z145" s="54" t="str">
        <x:f>IF(OR(W145="",Y145=""),"",Y145-W145)</x:f>
      </x:c>
      <x:c r="AC145" t="str">
        <x:f>IF(S145&lt;&gt;"Open","",IF(M145="","No deadline",IF(M145&lt;TODAY(),"OVERDUE",IF(M145&lt;=TODAY()+30,"Due ≤30d","Open"))))</x:f>
      </x:c>
      <x:c r="AF145" s="36"/>
    </x:row>
    <x:row r="146">
      <x:c r="G146" s="48"/>
      <x:c r="H146" s="36"/>
      <x:c r="I146" s="52"/>
      <x:c r="L146" s="50"/>
      <x:c r="M146" s="50"/>
      <x:c r="N146" s="36"/>
      <x:c r="O146" s="36"/>
      <x:c r="P146" s="36"/>
      <x:c r="Q146" s="36"/>
      <x:c r="R146" s="36"/>
      <x:c r="T146" s="50"/>
      <x:c r="U146" s="36"/>
      <x:c r="V146" t="str">
        <x:f>IF(S146="Resolved Hit",1,IF(S146="Resolved Miss",0,""))</x:f>
      </x:c>
      <x:c r="W146" s="54" t="str">
        <x:f>IF(OR(V146="",I146=""),"",((I146-V146)^2))</x:f>
      </x:c>
      <x:c r="X146" s="54"/>
      <x:c r="Y146" s="54" t="str">
        <x:f>IF(OR(V146="",X146=""),"",((X146-V146)^2))</x:f>
      </x:c>
      <x:c r="Z146" s="54" t="str">
        <x:f>IF(OR(W146="",Y146=""),"",Y146-W146)</x:f>
      </x:c>
      <x:c r="AC146" t="str">
        <x:f>IF(S146&lt;&gt;"Open","",IF(M146="","No deadline",IF(M146&lt;TODAY(),"OVERDUE",IF(M146&lt;=TODAY()+30,"Due ≤30d","Open"))))</x:f>
      </x:c>
      <x:c r="AF146" s="36"/>
    </x:row>
    <x:row r="147">
      <x:c r="G147" s="48"/>
      <x:c r="H147" s="36"/>
      <x:c r="I147" s="52"/>
      <x:c r="L147" s="50"/>
      <x:c r="M147" s="50"/>
      <x:c r="N147" s="36"/>
      <x:c r="O147" s="36"/>
      <x:c r="P147" s="36"/>
      <x:c r="Q147" s="36"/>
      <x:c r="R147" s="36"/>
      <x:c r="T147" s="50"/>
      <x:c r="U147" s="36"/>
      <x:c r="V147" t="str">
        <x:f>IF(S147="Resolved Hit",1,IF(S147="Resolved Miss",0,""))</x:f>
      </x:c>
      <x:c r="W147" s="54" t="str">
        <x:f>IF(OR(V147="",I147=""),"",((I147-V147)^2))</x:f>
      </x:c>
      <x:c r="X147" s="54"/>
      <x:c r="Y147" s="54" t="str">
        <x:f>IF(OR(V147="",X147=""),"",((X147-V147)^2))</x:f>
      </x:c>
      <x:c r="Z147" s="54" t="str">
        <x:f>IF(OR(W147="",Y147=""),"",Y147-W147)</x:f>
      </x:c>
      <x:c r="AC147" t="str">
        <x:f>IF(S147&lt;&gt;"Open","",IF(M147="","No deadline",IF(M147&lt;TODAY(),"OVERDUE",IF(M147&lt;=TODAY()+30,"Due ≤30d","Open"))))</x:f>
      </x:c>
      <x:c r="AF147" s="36"/>
    </x:row>
    <x:row r="148">
      <x:c r="G148" s="48"/>
      <x:c r="H148" s="36"/>
      <x:c r="I148" s="52"/>
      <x:c r="L148" s="50"/>
      <x:c r="M148" s="50"/>
      <x:c r="N148" s="36"/>
      <x:c r="O148" s="36"/>
      <x:c r="P148" s="36"/>
      <x:c r="Q148" s="36"/>
      <x:c r="R148" s="36"/>
      <x:c r="T148" s="50"/>
      <x:c r="U148" s="36"/>
      <x:c r="V148" t="str">
        <x:f>IF(S148="Resolved Hit",1,IF(S148="Resolved Miss",0,""))</x:f>
      </x:c>
      <x:c r="W148" s="54" t="str">
        <x:f>IF(OR(V148="",I148=""),"",((I148-V148)^2))</x:f>
      </x:c>
      <x:c r="X148" s="54"/>
      <x:c r="Y148" s="54" t="str">
        <x:f>IF(OR(V148="",X148=""),"",((X148-V148)^2))</x:f>
      </x:c>
      <x:c r="Z148" s="54" t="str">
        <x:f>IF(OR(W148="",Y148=""),"",Y148-W148)</x:f>
      </x:c>
      <x:c r="AC148" t="str">
        <x:f>IF(S148&lt;&gt;"Open","",IF(M148="","No deadline",IF(M148&lt;TODAY(),"OVERDUE",IF(M148&lt;=TODAY()+30,"Due ≤30d","Open"))))</x:f>
      </x:c>
      <x:c r="AF148" s="36"/>
    </x:row>
    <x:row r="149">
      <x:c r="G149" s="48"/>
      <x:c r="H149" s="36"/>
      <x:c r="I149" s="52"/>
      <x:c r="L149" s="50"/>
      <x:c r="M149" s="50"/>
      <x:c r="N149" s="36"/>
      <x:c r="O149" s="36"/>
      <x:c r="P149" s="36"/>
      <x:c r="Q149" s="36"/>
      <x:c r="R149" s="36"/>
      <x:c r="T149" s="50"/>
      <x:c r="U149" s="36"/>
      <x:c r="V149" t="str">
        <x:f>IF(S149="Resolved Hit",1,IF(S149="Resolved Miss",0,""))</x:f>
      </x:c>
      <x:c r="W149" s="54" t="str">
        <x:f>IF(OR(V149="",I149=""),"",((I149-V149)^2))</x:f>
      </x:c>
      <x:c r="X149" s="54"/>
      <x:c r="Y149" s="54" t="str">
        <x:f>IF(OR(V149="",X149=""),"",((X149-V149)^2))</x:f>
      </x:c>
      <x:c r="Z149" s="54" t="str">
        <x:f>IF(OR(W149="",Y149=""),"",Y149-W149)</x:f>
      </x:c>
      <x:c r="AC149" t="str">
        <x:f>IF(S149&lt;&gt;"Open","",IF(M149="","No deadline",IF(M149&lt;TODAY(),"OVERDUE",IF(M149&lt;=TODAY()+30,"Due ≤30d","Open"))))</x:f>
      </x:c>
      <x:c r="AF149" s="36"/>
    </x:row>
    <x:row r="150">
      <x:c r="G150" s="48"/>
      <x:c r="H150" s="36"/>
      <x:c r="I150" s="52"/>
      <x:c r="L150" s="50"/>
      <x:c r="M150" s="50"/>
      <x:c r="N150" s="36"/>
      <x:c r="O150" s="36"/>
      <x:c r="P150" s="36"/>
      <x:c r="Q150" s="36"/>
      <x:c r="R150" s="36"/>
      <x:c r="T150" s="50"/>
      <x:c r="U150" s="36"/>
      <x:c r="V150" t="str">
        <x:f>IF(S150="Resolved Hit",1,IF(S150="Resolved Miss",0,""))</x:f>
      </x:c>
      <x:c r="W150" s="54" t="str">
        <x:f>IF(OR(V150="",I150=""),"",((I150-V150)^2))</x:f>
      </x:c>
      <x:c r="X150" s="54"/>
      <x:c r="Y150" s="54" t="str">
        <x:f>IF(OR(V150="",X150=""),"",((X150-V150)^2))</x:f>
      </x:c>
      <x:c r="Z150" s="54" t="str">
        <x:f>IF(OR(W150="",Y150=""),"",Y150-W150)</x:f>
      </x:c>
      <x:c r="AC150" t="str">
        <x:f>IF(S150&lt;&gt;"Open","",IF(M150="","No deadline",IF(M150&lt;TODAY(),"OVERDUE",IF(M150&lt;=TODAY()+30,"Due ≤30d","Open"))))</x:f>
      </x:c>
      <x:c r="AF150" s="36"/>
    </x:row>
    <x:row r="151">
      <x:c r="G151" s="48"/>
      <x:c r="H151" s="36"/>
      <x:c r="I151" s="52"/>
      <x:c r="L151" s="50"/>
      <x:c r="M151" s="50"/>
      <x:c r="N151" s="36"/>
      <x:c r="O151" s="36"/>
      <x:c r="P151" s="36"/>
      <x:c r="Q151" s="36"/>
      <x:c r="R151" s="36"/>
      <x:c r="T151" s="50"/>
      <x:c r="U151" s="36"/>
      <x:c r="V151" t="str">
        <x:f>IF(S151="Resolved Hit",1,IF(S151="Resolved Miss",0,""))</x:f>
      </x:c>
      <x:c r="W151" s="54" t="str">
        <x:f>IF(OR(V151="",I151=""),"",((I151-V151)^2))</x:f>
      </x:c>
      <x:c r="X151" s="54"/>
      <x:c r="Y151" s="54" t="str">
        <x:f>IF(OR(V151="",X151=""),"",((X151-V151)^2))</x:f>
      </x:c>
      <x:c r="Z151" s="54" t="str">
        <x:f>IF(OR(W151="",Y151=""),"",Y151-W151)</x:f>
      </x:c>
      <x:c r="AC151" t="str">
        <x:f>IF(S151&lt;&gt;"Open","",IF(M151="","No deadline",IF(M151&lt;TODAY(),"OVERDUE",IF(M151&lt;=TODAY()+30,"Due ≤30d","Open"))))</x:f>
      </x:c>
      <x:c r="AF151" s="36"/>
    </x:row>
    <x:row r="152">
      <x:c r="G152" s="48"/>
      <x:c r="H152" s="36"/>
      <x:c r="I152" s="52"/>
      <x:c r="L152" s="50"/>
      <x:c r="M152" s="50"/>
      <x:c r="N152" s="36"/>
      <x:c r="O152" s="36"/>
      <x:c r="P152" s="36"/>
      <x:c r="Q152" s="36"/>
      <x:c r="R152" s="36"/>
      <x:c r="T152" s="50"/>
      <x:c r="U152" s="36"/>
      <x:c r="V152" t="str">
        <x:f>IF(S152="Resolved Hit",1,IF(S152="Resolved Miss",0,""))</x:f>
      </x:c>
      <x:c r="W152" s="54" t="str">
        <x:f>IF(OR(V152="",I152=""),"",((I152-V152)^2))</x:f>
      </x:c>
      <x:c r="X152" s="54"/>
      <x:c r="Y152" s="54" t="str">
        <x:f>IF(OR(V152="",X152=""),"",((X152-V152)^2))</x:f>
      </x:c>
      <x:c r="Z152" s="54" t="str">
        <x:f>IF(OR(W152="",Y152=""),"",Y152-W152)</x:f>
      </x:c>
      <x:c r="AC152" t="str">
        <x:f>IF(S152&lt;&gt;"Open","",IF(M152="","No deadline",IF(M152&lt;TODAY(),"OVERDUE",IF(M152&lt;=TODAY()+30,"Due ≤30d","Open"))))</x:f>
      </x:c>
      <x:c r="AF152" s="36"/>
    </x:row>
    <x:row r="153">
      <x:c r="G153" s="48"/>
      <x:c r="H153" s="36"/>
      <x:c r="I153" s="52"/>
      <x:c r="L153" s="50"/>
      <x:c r="M153" s="50"/>
      <x:c r="N153" s="36"/>
      <x:c r="O153" s="36"/>
      <x:c r="P153" s="36"/>
      <x:c r="Q153" s="36"/>
      <x:c r="R153" s="36"/>
      <x:c r="T153" s="50"/>
      <x:c r="U153" s="36"/>
      <x:c r="V153" t="str">
        <x:f>IF(S153="Resolved Hit",1,IF(S153="Resolved Miss",0,""))</x:f>
      </x:c>
      <x:c r="W153" s="54" t="str">
        <x:f>IF(OR(V153="",I153=""),"",((I153-V153)^2))</x:f>
      </x:c>
      <x:c r="X153" s="54"/>
      <x:c r="Y153" s="54" t="str">
        <x:f>IF(OR(V153="",X153=""),"",((X153-V153)^2))</x:f>
      </x:c>
      <x:c r="Z153" s="54" t="str">
        <x:f>IF(OR(W153="",Y153=""),"",Y153-W153)</x:f>
      </x:c>
      <x:c r="AC153" t="str">
        <x:f>IF(S153&lt;&gt;"Open","",IF(M153="","No deadline",IF(M153&lt;TODAY(),"OVERDUE",IF(M153&lt;=TODAY()+30,"Due ≤30d","Open"))))</x:f>
      </x:c>
      <x:c r="AF153" s="36"/>
    </x:row>
    <x:row r="154">
      <x:c r="G154" s="48"/>
      <x:c r="H154" s="36"/>
      <x:c r="I154" s="52"/>
      <x:c r="L154" s="50"/>
      <x:c r="M154" s="50"/>
      <x:c r="N154" s="36"/>
      <x:c r="O154" s="36"/>
      <x:c r="P154" s="36"/>
      <x:c r="Q154" s="36"/>
      <x:c r="R154" s="36"/>
      <x:c r="T154" s="50"/>
      <x:c r="U154" s="36"/>
      <x:c r="V154" t="str">
        <x:f>IF(S154="Resolved Hit",1,IF(S154="Resolved Miss",0,""))</x:f>
      </x:c>
      <x:c r="W154" s="54" t="str">
        <x:f>IF(OR(V154="",I154=""),"",((I154-V154)^2))</x:f>
      </x:c>
      <x:c r="X154" s="54"/>
      <x:c r="Y154" s="54" t="str">
        <x:f>IF(OR(V154="",X154=""),"",((X154-V154)^2))</x:f>
      </x:c>
      <x:c r="Z154" s="54" t="str">
        <x:f>IF(OR(W154="",Y154=""),"",Y154-W154)</x:f>
      </x:c>
      <x:c r="AC154" t="str">
        <x:f>IF(S154&lt;&gt;"Open","",IF(M154="","No deadline",IF(M154&lt;TODAY(),"OVERDUE",IF(M154&lt;=TODAY()+30,"Due ≤30d","Open"))))</x:f>
      </x:c>
      <x:c r="AF154" s="36"/>
    </x:row>
    <x:row r="155">
      <x:c r="G155" s="48"/>
      <x:c r="H155" s="36"/>
      <x:c r="I155" s="52"/>
      <x:c r="L155" s="50"/>
      <x:c r="M155" s="50"/>
      <x:c r="N155" s="36"/>
      <x:c r="O155" s="36"/>
      <x:c r="P155" s="36"/>
      <x:c r="Q155" s="36"/>
      <x:c r="R155" s="36"/>
      <x:c r="T155" s="50"/>
      <x:c r="U155" s="36"/>
      <x:c r="V155" t="str">
        <x:f>IF(S155="Resolved Hit",1,IF(S155="Resolved Miss",0,""))</x:f>
      </x:c>
      <x:c r="W155" s="54" t="str">
        <x:f>IF(OR(V155="",I155=""),"",((I155-V155)^2))</x:f>
      </x:c>
      <x:c r="X155" s="54"/>
      <x:c r="Y155" s="54" t="str">
        <x:f>IF(OR(V155="",X155=""),"",((X155-V155)^2))</x:f>
      </x:c>
      <x:c r="Z155" s="54" t="str">
        <x:f>IF(OR(W155="",Y155=""),"",Y155-W155)</x:f>
      </x:c>
      <x:c r="AC155" t="str">
        <x:f>IF(S155&lt;&gt;"Open","",IF(M155="","No deadline",IF(M155&lt;TODAY(),"OVERDUE",IF(M155&lt;=TODAY()+30,"Due ≤30d","Open"))))</x:f>
      </x:c>
      <x:c r="AF155" s="36"/>
    </x:row>
    <x:row r="156">
      <x:c r="G156" s="48"/>
      <x:c r="H156" s="36"/>
      <x:c r="I156" s="52"/>
      <x:c r="L156" s="50"/>
      <x:c r="M156" s="50"/>
      <x:c r="N156" s="36"/>
      <x:c r="O156" s="36"/>
      <x:c r="P156" s="36"/>
      <x:c r="Q156" s="36"/>
      <x:c r="R156" s="36"/>
      <x:c r="T156" s="50"/>
      <x:c r="U156" s="36"/>
      <x:c r="V156" t="str">
        <x:f>IF(S156="Resolved Hit",1,IF(S156="Resolved Miss",0,""))</x:f>
      </x:c>
      <x:c r="W156" s="54" t="str">
        <x:f>IF(OR(V156="",I156=""),"",((I156-V156)^2))</x:f>
      </x:c>
      <x:c r="X156" s="54"/>
      <x:c r="Y156" s="54" t="str">
        <x:f>IF(OR(V156="",X156=""),"",((X156-V156)^2))</x:f>
      </x:c>
      <x:c r="Z156" s="54" t="str">
        <x:f>IF(OR(W156="",Y156=""),"",Y156-W156)</x:f>
      </x:c>
      <x:c r="AC156" t="str">
        <x:f>IF(S156&lt;&gt;"Open","",IF(M156="","No deadline",IF(M156&lt;TODAY(),"OVERDUE",IF(M156&lt;=TODAY()+30,"Due ≤30d","Open"))))</x:f>
      </x:c>
      <x:c r="AF156" s="36"/>
    </x:row>
    <x:row r="157">
      <x:c r="G157" s="48"/>
      <x:c r="H157" s="36"/>
      <x:c r="I157" s="52"/>
      <x:c r="L157" s="50"/>
      <x:c r="M157" s="50"/>
      <x:c r="N157" s="36"/>
      <x:c r="O157" s="36"/>
      <x:c r="P157" s="36"/>
      <x:c r="Q157" s="36"/>
      <x:c r="R157" s="36"/>
      <x:c r="T157" s="50"/>
      <x:c r="U157" s="36"/>
      <x:c r="V157" t="str">
        <x:f>IF(S157="Resolved Hit",1,IF(S157="Resolved Miss",0,""))</x:f>
      </x:c>
      <x:c r="W157" s="54" t="str">
        <x:f>IF(OR(V157="",I157=""),"",((I157-V157)^2))</x:f>
      </x:c>
      <x:c r="X157" s="54"/>
      <x:c r="Y157" s="54" t="str">
        <x:f>IF(OR(V157="",X157=""),"",((X157-V157)^2))</x:f>
      </x:c>
      <x:c r="Z157" s="54" t="str">
        <x:f>IF(OR(W157="",Y157=""),"",Y157-W157)</x:f>
      </x:c>
      <x:c r="AC157" t="str">
        <x:f>IF(S157&lt;&gt;"Open","",IF(M157="","No deadline",IF(M157&lt;TODAY(),"OVERDUE",IF(M157&lt;=TODAY()+30,"Due ≤30d","Open"))))</x:f>
      </x:c>
      <x:c r="AF157" s="36"/>
    </x:row>
    <x:row r="158">
      <x:c r="G158" s="48"/>
      <x:c r="H158" s="36"/>
      <x:c r="I158" s="52"/>
      <x:c r="L158" s="50"/>
      <x:c r="M158" s="50"/>
      <x:c r="N158" s="36"/>
      <x:c r="O158" s="36"/>
      <x:c r="P158" s="36"/>
      <x:c r="Q158" s="36"/>
      <x:c r="R158" s="36"/>
      <x:c r="T158" s="50"/>
      <x:c r="U158" s="36"/>
      <x:c r="V158" t="str">
        <x:f>IF(S158="Resolved Hit",1,IF(S158="Resolved Miss",0,""))</x:f>
      </x:c>
      <x:c r="W158" s="54" t="str">
        <x:f>IF(OR(V158="",I158=""),"",((I158-V158)^2))</x:f>
      </x:c>
      <x:c r="X158" s="54"/>
      <x:c r="Y158" s="54" t="str">
        <x:f>IF(OR(V158="",X158=""),"",((X158-V158)^2))</x:f>
      </x:c>
      <x:c r="Z158" s="54" t="str">
        <x:f>IF(OR(W158="",Y158=""),"",Y158-W158)</x:f>
      </x:c>
      <x:c r="AC158" t="str">
        <x:f>IF(S158&lt;&gt;"Open","",IF(M158="","No deadline",IF(M158&lt;TODAY(),"OVERDUE",IF(M158&lt;=TODAY()+30,"Due ≤30d","Open"))))</x:f>
      </x:c>
      <x:c r="AF158" s="36"/>
    </x:row>
    <x:row r="159">
      <x:c r="G159" s="48"/>
      <x:c r="H159" s="36"/>
      <x:c r="I159" s="52"/>
      <x:c r="L159" s="50"/>
      <x:c r="M159" s="50"/>
      <x:c r="N159" s="36"/>
      <x:c r="O159" s="36"/>
      <x:c r="P159" s="36"/>
      <x:c r="Q159" s="36"/>
      <x:c r="R159" s="36"/>
      <x:c r="T159" s="50"/>
      <x:c r="U159" s="36"/>
      <x:c r="V159" t="str">
        <x:f>IF(S159="Resolved Hit",1,IF(S159="Resolved Miss",0,""))</x:f>
      </x:c>
      <x:c r="W159" s="54" t="str">
        <x:f>IF(OR(V159="",I159=""),"",((I159-V159)^2))</x:f>
      </x:c>
      <x:c r="X159" s="54"/>
      <x:c r="Y159" s="54" t="str">
        <x:f>IF(OR(V159="",X159=""),"",((X159-V159)^2))</x:f>
      </x:c>
      <x:c r="Z159" s="54" t="str">
        <x:f>IF(OR(W159="",Y159=""),"",Y159-W159)</x:f>
      </x:c>
      <x:c r="AC159" t="str">
        <x:f>IF(S159&lt;&gt;"Open","",IF(M159="","No deadline",IF(M159&lt;TODAY(),"OVERDUE",IF(M159&lt;=TODAY()+30,"Due ≤30d","Open"))))</x:f>
      </x:c>
      <x:c r="AF159" s="36"/>
    </x:row>
    <x:row r="160">
      <x:c r="G160" s="48"/>
      <x:c r="H160" s="36"/>
      <x:c r="I160" s="52"/>
      <x:c r="L160" s="50"/>
      <x:c r="M160" s="50"/>
      <x:c r="N160" s="36"/>
      <x:c r="O160" s="36"/>
      <x:c r="P160" s="36"/>
      <x:c r="Q160" s="36"/>
      <x:c r="R160" s="36"/>
      <x:c r="T160" s="50"/>
      <x:c r="U160" s="36"/>
      <x:c r="V160" t="str">
        <x:f>IF(S160="Resolved Hit",1,IF(S160="Resolved Miss",0,""))</x:f>
      </x:c>
      <x:c r="W160" s="54" t="str">
        <x:f>IF(OR(V160="",I160=""),"",((I160-V160)^2))</x:f>
      </x:c>
      <x:c r="X160" s="54"/>
      <x:c r="Y160" s="54" t="str">
        <x:f>IF(OR(V160="",X160=""),"",((X160-V160)^2))</x:f>
      </x:c>
      <x:c r="Z160" s="54" t="str">
        <x:f>IF(OR(W160="",Y160=""),"",Y160-W160)</x:f>
      </x:c>
      <x:c r="AC160" t="str">
        <x:f>IF(S160&lt;&gt;"Open","",IF(M160="","No deadline",IF(M160&lt;TODAY(),"OVERDUE",IF(M160&lt;=TODAY()+30,"Due ≤30d","Open"))))</x:f>
      </x:c>
      <x:c r="AF160" s="36"/>
    </x:row>
    <x:row r="161">
      <x:c r="G161" s="48"/>
      <x:c r="H161" s="36"/>
      <x:c r="I161" s="52"/>
      <x:c r="L161" s="50"/>
      <x:c r="M161" s="50"/>
      <x:c r="N161" s="36"/>
      <x:c r="O161" s="36"/>
      <x:c r="P161" s="36"/>
      <x:c r="Q161" s="36"/>
      <x:c r="R161" s="36"/>
      <x:c r="T161" s="50"/>
      <x:c r="U161" s="36"/>
      <x:c r="V161" t="str">
        <x:f>IF(S161="Resolved Hit",1,IF(S161="Resolved Miss",0,""))</x:f>
      </x:c>
      <x:c r="W161" s="54" t="str">
        <x:f>IF(OR(V161="",I161=""),"",((I161-V161)^2))</x:f>
      </x:c>
      <x:c r="X161" s="54"/>
      <x:c r="Y161" s="54" t="str">
        <x:f>IF(OR(V161="",X161=""),"",((X161-V161)^2))</x:f>
      </x:c>
      <x:c r="Z161" s="54" t="str">
        <x:f>IF(OR(W161="",Y161=""),"",Y161-W161)</x:f>
      </x:c>
      <x:c r="AC161" t="str">
        <x:f>IF(S161&lt;&gt;"Open","",IF(M161="","No deadline",IF(M161&lt;TODAY(),"OVERDUE",IF(M161&lt;=TODAY()+30,"Due ≤30d","Open"))))</x:f>
      </x:c>
      <x:c r="AF161" s="36"/>
    </x:row>
    <x:row r="162">
      <x:c r="G162" s="48"/>
      <x:c r="H162" s="36"/>
      <x:c r="I162" s="52"/>
      <x:c r="L162" s="50"/>
      <x:c r="M162" s="50"/>
      <x:c r="N162" s="36"/>
      <x:c r="O162" s="36"/>
      <x:c r="P162" s="36"/>
      <x:c r="Q162" s="36"/>
      <x:c r="R162" s="36"/>
      <x:c r="T162" s="50"/>
      <x:c r="U162" s="36"/>
      <x:c r="V162" t="str">
        <x:f>IF(S162="Resolved Hit",1,IF(S162="Resolved Miss",0,""))</x:f>
      </x:c>
      <x:c r="W162" s="54" t="str">
        <x:f>IF(OR(V162="",I162=""),"",((I162-V162)^2))</x:f>
      </x:c>
      <x:c r="X162" s="54"/>
      <x:c r="Y162" s="54" t="str">
        <x:f>IF(OR(V162="",X162=""),"",((X162-V162)^2))</x:f>
      </x:c>
      <x:c r="Z162" s="54" t="str">
        <x:f>IF(OR(W162="",Y162=""),"",Y162-W162)</x:f>
      </x:c>
      <x:c r="AC162" t="str">
        <x:f>IF(S162&lt;&gt;"Open","",IF(M162="","No deadline",IF(M162&lt;TODAY(),"OVERDUE",IF(M162&lt;=TODAY()+30,"Due ≤30d","Open"))))</x:f>
      </x:c>
      <x:c r="AF162" s="36"/>
    </x:row>
    <x:row r="163">
      <x:c r="G163" s="48"/>
      <x:c r="H163" s="36"/>
      <x:c r="I163" s="52"/>
      <x:c r="L163" s="50"/>
      <x:c r="M163" s="50"/>
      <x:c r="N163" s="36"/>
      <x:c r="O163" s="36"/>
      <x:c r="P163" s="36"/>
      <x:c r="Q163" s="36"/>
      <x:c r="R163" s="36"/>
      <x:c r="T163" s="50"/>
      <x:c r="U163" s="36"/>
      <x:c r="V163" t="str">
        <x:f>IF(S163="Resolved Hit",1,IF(S163="Resolved Miss",0,""))</x:f>
      </x:c>
      <x:c r="W163" s="54" t="str">
        <x:f>IF(OR(V163="",I163=""),"",((I163-V163)^2))</x:f>
      </x:c>
      <x:c r="X163" s="54"/>
      <x:c r="Y163" s="54" t="str">
        <x:f>IF(OR(V163="",X163=""),"",((X163-V163)^2))</x:f>
      </x:c>
      <x:c r="Z163" s="54" t="str">
        <x:f>IF(OR(W163="",Y163=""),"",Y163-W163)</x:f>
      </x:c>
      <x:c r="AC163" t="str">
        <x:f>IF(S163&lt;&gt;"Open","",IF(M163="","No deadline",IF(M163&lt;TODAY(),"OVERDUE",IF(M163&lt;=TODAY()+30,"Due ≤30d","Open"))))</x:f>
      </x:c>
      <x:c r="AF163" s="36"/>
    </x:row>
    <x:row r="164">
      <x:c r="G164" s="48"/>
      <x:c r="H164" s="36"/>
      <x:c r="I164" s="52"/>
      <x:c r="L164" s="50"/>
      <x:c r="M164" s="50"/>
      <x:c r="N164" s="36"/>
      <x:c r="O164" s="36"/>
      <x:c r="P164" s="36"/>
      <x:c r="Q164" s="36"/>
      <x:c r="R164" s="36"/>
      <x:c r="T164" s="50"/>
      <x:c r="U164" s="36"/>
      <x:c r="V164" t="str">
        <x:f>IF(S164="Resolved Hit",1,IF(S164="Resolved Miss",0,""))</x:f>
      </x:c>
      <x:c r="W164" s="54" t="str">
        <x:f>IF(OR(V164="",I164=""),"",((I164-V164)^2))</x:f>
      </x:c>
      <x:c r="X164" s="54"/>
      <x:c r="Y164" s="54" t="str">
        <x:f>IF(OR(V164="",X164=""),"",((X164-V164)^2))</x:f>
      </x:c>
      <x:c r="Z164" s="54" t="str">
        <x:f>IF(OR(W164="",Y164=""),"",Y164-W164)</x:f>
      </x:c>
      <x:c r="AC164" t="str">
        <x:f>IF(S164&lt;&gt;"Open","",IF(M164="","No deadline",IF(M164&lt;TODAY(),"OVERDUE",IF(M164&lt;=TODAY()+30,"Due ≤30d","Open"))))</x:f>
      </x:c>
      <x:c r="AF164" s="36"/>
    </x:row>
    <x:row r="165">
      <x:c r="G165" s="48"/>
      <x:c r="H165" s="36"/>
      <x:c r="I165" s="52"/>
      <x:c r="L165" s="50"/>
      <x:c r="M165" s="50"/>
      <x:c r="N165" s="36"/>
      <x:c r="O165" s="36"/>
      <x:c r="P165" s="36"/>
      <x:c r="Q165" s="36"/>
      <x:c r="R165" s="36"/>
      <x:c r="T165" s="50"/>
      <x:c r="U165" s="36"/>
      <x:c r="V165" t="str">
        <x:f>IF(S165="Resolved Hit",1,IF(S165="Resolved Miss",0,""))</x:f>
      </x:c>
      <x:c r="W165" s="54" t="str">
        <x:f>IF(OR(V165="",I165=""),"",((I165-V165)^2))</x:f>
      </x:c>
      <x:c r="X165" s="54"/>
      <x:c r="Y165" s="54" t="str">
        <x:f>IF(OR(V165="",X165=""),"",((X165-V165)^2))</x:f>
      </x:c>
      <x:c r="Z165" s="54" t="str">
        <x:f>IF(OR(W165="",Y165=""),"",Y165-W165)</x:f>
      </x:c>
      <x:c r="AC165" t="str">
        <x:f>IF(S165&lt;&gt;"Open","",IF(M165="","No deadline",IF(M165&lt;TODAY(),"OVERDUE",IF(M165&lt;=TODAY()+30,"Due ≤30d","Open"))))</x:f>
      </x:c>
      <x:c r="AF165" s="36"/>
    </x:row>
    <x:row r="166">
      <x:c r="G166" s="48"/>
      <x:c r="H166" s="36"/>
      <x:c r="I166" s="52"/>
      <x:c r="L166" s="50"/>
      <x:c r="M166" s="50"/>
      <x:c r="N166" s="36"/>
      <x:c r="O166" s="36"/>
      <x:c r="P166" s="36"/>
      <x:c r="Q166" s="36"/>
      <x:c r="R166" s="36"/>
      <x:c r="T166" s="50"/>
      <x:c r="U166" s="36"/>
      <x:c r="V166" t="str">
        <x:f>IF(S166="Resolved Hit",1,IF(S166="Resolved Miss",0,""))</x:f>
      </x:c>
      <x:c r="W166" s="54" t="str">
        <x:f>IF(OR(V166="",I166=""),"",((I166-V166)^2))</x:f>
      </x:c>
      <x:c r="X166" s="54"/>
      <x:c r="Y166" s="54" t="str">
        <x:f>IF(OR(V166="",X166=""),"",((X166-V166)^2))</x:f>
      </x:c>
      <x:c r="Z166" s="54" t="str">
        <x:f>IF(OR(W166="",Y166=""),"",Y166-W166)</x:f>
      </x:c>
      <x:c r="AC166" t="str">
        <x:f>IF(S166&lt;&gt;"Open","",IF(M166="","No deadline",IF(M166&lt;TODAY(),"OVERDUE",IF(M166&lt;=TODAY()+30,"Due ≤30d","Open"))))</x:f>
      </x:c>
      <x:c r="AF166" s="36"/>
    </x:row>
    <x:row r="167">
      <x:c r="G167" s="48"/>
      <x:c r="H167" s="36"/>
      <x:c r="I167" s="52"/>
      <x:c r="L167" s="50"/>
      <x:c r="M167" s="50"/>
      <x:c r="N167" s="36"/>
      <x:c r="O167" s="36"/>
      <x:c r="P167" s="36"/>
      <x:c r="Q167" s="36"/>
      <x:c r="R167" s="36"/>
      <x:c r="T167" s="50"/>
      <x:c r="U167" s="36"/>
      <x:c r="V167" t="str">
        <x:f>IF(S167="Resolved Hit",1,IF(S167="Resolved Miss",0,""))</x:f>
      </x:c>
      <x:c r="W167" s="54" t="str">
        <x:f>IF(OR(V167="",I167=""),"",((I167-V167)^2))</x:f>
      </x:c>
      <x:c r="X167" s="54"/>
      <x:c r="Y167" s="54" t="str">
        <x:f>IF(OR(V167="",X167=""),"",((X167-V167)^2))</x:f>
      </x:c>
      <x:c r="Z167" s="54" t="str">
        <x:f>IF(OR(W167="",Y167=""),"",Y167-W167)</x:f>
      </x:c>
      <x:c r="AC167" t="str">
        <x:f>IF(S167&lt;&gt;"Open","",IF(M167="","No deadline",IF(M167&lt;TODAY(),"OVERDUE",IF(M167&lt;=TODAY()+30,"Due ≤30d","Open"))))</x:f>
      </x:c>
      <x:c r="AF167" s="36"/>
    </x:row>
    <x:row r="168">
      <x:c r="G168" s="48"/>
      <x:c r="H168" s="36"/>
      <x:c r="I168" s="52"/>
      <x:c r="L168" s="50"/>
      <x:c r="M168" s="50"/>
      <x:c r="N168" s="36"/>
      <x:c r="O168" s="36"/>
      <x:c r="P168" s="36"/>
      <x:c r="Q168" s="36"/>
      <x:c r="R168" s="36"/>
      <x:c r="T168" s="50"/>
      <x:c r="U168" s="36"/>
      <x:c r="V168" t="str">
        <x:f>IF(S168="Resolved Hit",1,IF(S168="Resolved Miss",0,""))</x:f>
      </x:c>
      <x:c r="W168" s="54" t="str">
        <x:f>IF(OR(V168="",I168=""),"",((I168-V168)^2))</x:f>
      </x:c>
      <x:c r="X168" s="54"/>
      <x:c r="Y168" s="54" t="str">
        <x:f>IF(OR(V168="",X168=""),"",((X168-V168)^2))</x:f>
      </x:c>
      <x:c r="Z168" s="54" t="str">
        <x:f>IF(OR(W168="",Y168=""),"",Y168-W168)</x:f>
      </x:c>
      <x:c r="AC168" t="str">
        <x:f>IF(S168&lt;&gt;"Open","",IF(M168="","No deadline",IF(M168&lt;TODAY(),"OVERDUE",IF(M168&lt;=TODAY()+30,"Due ≤30d","Open"))))</x:f>
      </x:c>
      <x:c r="AF168" s="36"/>
    </x:row>
    <x:row r="169">
      <x:c r="G169" s="48"/>
      <x:c r="H169" s="36"/>
      <x:c r="I169" s="52"/>
      <x:c r="L169" s="50"/>
      <x:c r="M169" s="50"/>
      <x:c r="N169" s="36"/>
      <x:c r="O169" s="36"/>
      <x:c r="P169" s="36"/>
      <x:c r="Q169" s="36"/>
      <x:c r="R169" s="36"/>
      <x:c r="T169" s="50"/>
      <x:c r="U169" s="36"/>
      <x:c r="V169" t="str">
        <x:f>IF(S169="Resolved Hit",1,IF(S169="Resolved Miss",0,""))</x:f>
      </x:c>
      <x:c r="W169" s="54" t="str">
        <x:f>IF(OR(V169="",I169=""),"",((I169-V169)^2))</x:f>
      </x:c>
      <x:c r="X169" s="54"/>
      <x:c r="Y169" s="54" t="str">
        <x:f>IF(OR(V169="",X169=""),"",((X169-V169)^2))</x:f>
      </x:c>
      <x:c r="Z169" s="54" t="str">
        <x:f>IF(OR(W169="",Y169=""),"",Y169-W169)</x:f>
      </x:c>
      <x:c r="AC169" t="str">
        <x:f>IF(S169&lt;&gt;"Open","",IF(M169="","No deadline",IF(M169&lt;TODAY(),"OVERDUE",IF(M169&lt;=TODAY()+30,"Due ≤30d","Open"))))</x:f>
      </x:c>
      <x:c r="AF169" s="36"/>
    </x:row>
    <x:row r="170">
      <x:c r="G170" s="48"/>
      <x:c r="H170" s="36"/>
      <x:c r="I170" s="52"/>
      <x:c r="L170" s="50"/>
      <x:c r="M170" s="50"/>
      <x:c r="N170" s="36"/>
      <x:c r="O170" s="36"/>
      <x:c r="P170" s="36"/>
      <x:c r="Q170" s="36"/>
      <x:c r="R170" s="36"/>
      <x:c r="T170" s="50"/>
      <x:c r="U170" s="36"/>
      <x:c r="V170" t="str">
        <x:f>IF(S170="Resolved Hit",1,IF(S170="Resolved Miss",0,""))</x:f>
      </x:c>
      <x:c r="W170" s="54" t="str">
        <x:f>IF(OR(V170="",I170=""),"",((I170-V170)^2))</x:f>
      </x:c>
      <x:c r="X170" s="54"/>
      <x:c r="Y170" s="54" t="str">
        <x:f>IF(OR(V170="",X170=""),"",((X170-V170)^2))</x:f>
      </x:c>
      <x:c r="Z170" s="54" t="str">
        <x:f>IF(OR(W170="",Y170=""),"",Y170-W170)</x:f>
      </x:c>
      <x:c r="AC170" t="str">
        <x:f>IF(S170&lt;&gt;"Open","",IF(M170="","No deadline",IF(M170&lt;TODAY(),"OVERDUE",IF(M170&lt;=TODAY()+30,"Due ≤30d","Open"))))</x:f>
      </x:c>
      <x:c r="AF170" s="36"/>
    </x:row>
    <x:row r="171">
      <x:c r="G171" s="48"/>
      <x:c r="H171" s="36"/>
      <x:c r="I171" s="52"/>
      <x:c r="L171" s="50"/>
      <x:c r="M171" s="50"/>
      <x:c r="N171" s="36"/>
      <x:c r="O171" s="36"/>
      <x:c r="P171" s="36"/>
      <x:c r="Q171" s="36"/>
      <x:c r="R171" s="36"/>
      <x:c r="T171" s="50"/>
      <x:c r="U171" s="36"/>
      <x:c r="V171" t="str">
        <x:f>IF(S171="Resolved Hit",1,IF(S171="Resolved Miss",0,""))</x:f>
      </x:c>
      <x:c r="W171" s="54" t="str">
        <x:f>IF(OR(V171="",I171=""),"",((I171-V171)^2))</x:f>
      </x:c>
      <x:c r="X171" s="54"/>
      <x:c r="Y171" s="54" t="str">
        <x:f>IF(OR(V171="",X171=""),"",((X171-V171)^2))</x:f>
      </x:c>
      <x:c r="Z171" s="54" t="str">
        <x:f>IF(OR(W171="",Y171=""),"",Y171-W171)</x:f>
      </x:c>
      <x:c r="AC171" t="str">
        <x:f>IF(S171&lt;&gt;"Open","",IF(M171="","No deadline",IF(M171&lt;TODAY(),"OVERDUE",IF(M171&lt;=TODAY()+30,"Due ≤30d","Open"))))</x:f>
      </x:c>
      <x:c r="AF171" s="36"/>
    </x:row>
    <x:row r="172">
      <x:c r="G172" s="48"/>
      <x:c r="H172" s="36"/>
      <x:c r="I172" s="52"/>
      <x:c r="L172" s="50"/>
      <x:c r="M172" s="50"/>
      <x:c r="N172" s="36"/>
      <x:c r="O172" s="36"/>
      <x:c r="P172" s="36"/>
      <x:c r="Q172" s="36"/>
      <x:c r="R172" s="36"/>
      <x:c r="T172" s="50"/>
      <x:c r="U172" s="36"/>
      <x:c r="V172" t="str">
        <x:f>IF(S172="Resolved Hit",1,IF(S172="Resolved Miss",0,""))</x:f>
      </x:c>
      <x:c r="W172" s="54" t="str">
        <x:f>IF(OR(V172="",I172=""),"",((I172-V172)^2))</x:f>
      </x:c>
      <x:c r="X172" s="54"/>
      <x:c r="Y172" s="54" t="str">
        <x:f>IF(OR(V172="",X172=""),"",((X172-V172)^2))</x:f>
      </x:c>
      <x:c r="Z172" s="54" t="str">
        <x:f>IF(OR(W172="",Y172=""),"",Y172-W172)</x:f>
      </x:c>
      <x:c r="AC172" t="str">
        <x:f>IF(S172&lt;&gt;"Open","",IF(M172="","No deadline",IF(M172&lt;TODAY(),"OVERDUE",IF(M172&lt;=TODAY()+30,"Due ≤30d","Open"))))</x:f>
      </x:c>
      <x:c r="AF172" s="36"/>
    </x:row>
    <x:row r="173">
      <x:c r="G173" s="48"/>
      <x:c r="H173" s="36"/>
      <x:c r="I173" s="52"/>
      <x:c r="L173" s="50"/>
      <x:c r="M173" s="50"/>
      <x:c r="N173" s="36"/>
      <x:c r="O173" s="36"/>
      <x:c r="P173" s="36"/>
      <x:c r="Q173" s="36"/>
      <x:c r="R173" s="36"/>
      <x:c r="T173" s="50"/>
      <x:c r="U173" s="36"/>
      <x:c r="V173" t="str">
        <x:f>IF(S173="Resolved Hit",1,IF(S173="Resolved Miss",0,""))</x:f>
      </x:c>
      <x:c r="W173" s="54" t="str">
        <x:f>IF(OR(V173="",I173=""),"",((I173-V173)^2))</x:f>
      </x:c>
      <x:c r="X173" s="54"/>
      <x:c r="Y173" s="54" t="str">
        <x:f>IF(OR(V173="",X173=""),"",((X173-V173)^2))</x:f>
      </x:c>
      <x:c r="Z173" s="54" t="str">
        <x:f>IF(OR(W173="",Y173=""),"",Y173-W173)</x:f>
      </x:c>
      <x:c r="AC173" t="str">
        <x:f>IF(S173&lt;&gt;"Open","",IF(M173="","No deadline",IF(M173&lt;TODAY(),"OVERDUE",IF(M173&lt;=TODAY()+30,"Due ≤30d","Open"))))</x:f>
      </x:c>
      <x:c r="AF173" s="36"/>
    </x:row>
    <x:row r="174">
      <x:c r="G174" s="48"/>
      <x:c r="H174" s="36"/>
      <x:c r="I174" s="52"/>
      <x:c r="L174" s="50"/>
      <x:c r="M174" s="50"/>
      <x:c r="N174" s="36"/>
      <x:c r="O174" s="36"/>
      <x:c r="P174" s="36"/>
      <x:c r="Q174" s="36"/>
      <x:c r="R174" s="36"/>
      <x:c r="T174" s="50"/>
      <x:c r="U174" s="36"/>
      <x:c r="V174" t="str">
        <x:f>IF(S174="Resolved Hit",1,IF(S174="Resolved Miss",0,""))</x:f>
      </x:c>
      <x:c r="W174" s="54" t="str">
        <x:f>IF(OR(V174="",I174=""),"",((I174-V174)^2))</x:f>
      </x:c>
      <x:c r="X174" s="54"/>
      <x:c r="Y174" s="54" t="str">
        <x:f>IF(OR(V174="",X174=""),"",((X174-V174)^2))</x:f>
      </x:c>
      <x:c r="Z174" s="54" t="str">
        <x:f>IF(OR(W174="",Y174=""),"",Y174-W174)</x:f>
      </x:c>
      <x:c r="AC174" t="str">
        <x:f>IF(S174&lt;&gt;"Open","",IF(M174="","No deadline",IF(M174&lt;TODAY(),"OVERDUE",IF(M174&lt;=TODAY()+30,"Due ≤30d","Open"))))</x:f>
      </x:c>
      <x:c r="AF174" s="36"/>
    </x:row>
    <x:row r="175">
      <x:c r="G175" s="48"/>
      <x:c r="H175" s="36"/>
      <x:c r="I175" s="52"/>
      <x:c r="L175" s="50"/>
      <x:c r="M175" s="50"/>
      <x:c r="N175" s="36"/>
      <x:c r="O175" s="36"/>
      <x:c r="P175" s="36"/>
      <x:c r="Q175" s="36"/>
      <x:c r="R175" s="36"/>
      <x:c r="T175" s="50"/>
      <x:c r="U175" s="36"/>
      <x:c r="V175" t="str">
        <x:f>IF(S175="Resolved Hit",1,IF(S175="Resolved Miss",0,""))</x:f>
      </x:c>
      <x:c r="W175" s="54" t="str">
        <x:f>IF(OR(V175="",I175=""),"",((I175-V175)^2))</x:f>
      </x:c>
      <x:c r="X175" s="54"/>
      <x:c r="Y175" s="54" t="str">
        <x:f>IF(OR(V175="",X175=""),"",((X175-V175)^2))</x:f>
      </x:c>
      <x:c r="Z175" s="54" t="str">
        <x:f>IF(OR(W175="",Y175=""),"",Y175-W175)</x:f>
      </x:c>
      <x:c r="AC175" t="str">
        <x:f>IF(S175&lt;&gt;"Open","",IF(M175="","No deadline",IF(M175&lt;TODAY(),"OVERDUE",IF(M175&lt;=TODAY()+30,"Due ≤30d","Open"))))</x:f>
      </x:c>
      <x:c r="AF175" s="36"/>
    </x:row>
    <x:row r="176">
      <x:c r="G176" s="48"/>
      <x:c r="H176" s="36"/>
      <x:c r="I176" s="52"/>
      <x:c r="L176" s="50"/>
      <x:c r="M176" s="50"/>
      <x:c r="N176" s="36"/>
      <x:c r="O176" s="36"/>
      <x:c r="P176" s="36"/>
      <x:c r="Q176" s="36"/>
      <x:c r="R176" s="36"/>
      <x:c r="T176" s="50"/>
      <x:c r="U176" s="36"/>
      <x:c r="V176" t="str">
        <x:f>IF(S176="Resolved Hit",1,IF(S176="Resolved Miss",0,""))</x:f>
      </x:c>
      <x:c r="W176" s="54" t="str">
        <x:f>IF(OR(V176="",I176=""),"",((I176-V176)^2))</x:f>
      </x:c>
      <x:c r="X176" s="54"/>
      <x:c r="Y176" s="54" t="str">
        <x:f>IF(OR(V176="",X176=""),"",((X176-V176)^2))</x:f>
      </x:c>
      <x:c r="Z176" s="54" t="str">
        <x:f>IF(OR(W176="",Y176=""),"",Y176-W176)</x:f>
      </x:c>
      <x:c r="AC176" t="str">
        <x:f>IF(S176&lt;&gt;"Open","",IF(M176="","No deadline",IF(M176&lt;TODAY(),"OVERDUE",IF(M176&lt;=TODAY()+30,"Due ≤30d","Open"))))</x:f>
      </x:c>
      <x:c r="AF176" s="36"/>
    </x:row>
    <x:row r="177">
      <x:c r="G177" s="48"/>
      <x:c r="H177" s="36"/>
      <x:c r="I177" s="52"/>
      <x:c r="L177" s="50"/>
      <x:c r="M177" s="50"/>
      <x:c r="N177" s="36"/>
      <x:c r="O177" s="36"/>
      <x:c r="P177" s="36"/>
      <x:c r="Q177" s="36"/>
      <x:c r="R177" s="36"/>
      <x:c r="T177" s="50"/>
      <x:c r="U177" s="36"/>
      <x:c r="V177" t="str">
        <x:f>IF(S177="Resolved Hit",1,IF(S177="Resolved Miss",0,""))</x:f>
      </x:c>
      <x:c r="W177" s="54" t="str">
        <x:f>IF(OR(V177="",I177=""),"",((I177-V177)^2))</x:f>
      </x:c>
      <x:c r="X177" s="54"/>
      <x:c r="Y177" s="54" t="str">
        <x:f>IF(OR(V177="",X177=""),"",((X177-V177)^2))</x:f>
      </x:c>
      <x:c r="Z177" s="54" t="str">
        <x:f>IF(OR(W177="",Y177=""),"",Y177-W177)</x:f>
      </x:c>
      <x:c r="AC177" t="str">
        <x:f>IF(S177&lt;&gt;"Open","",IF(M177="","No deadline",IF(M177&lt;TODAY(),"OVERDUE",IF(M177&lt;=TODAY()+30,"Due ≤30d","Open"))))</x:f>
      </x:c>
      <x:c r="AF177" s="36"/>
    </x:row>
    <x:row r="178">
      <x:c r="G178" s="48"/>
      <x:c r="H178" s="36"/>
      <x:c r="I178" s="52"/>
      <x:c r="L178" s="50"/>
      <x:c r="M178" s="50"/>
      <x:c r="N178" s="36"/>
      <x:c r="O178" s="36"/>
      <x:c r="P178" s="36"/>
      <x:c r="Q178" s="36"/>
      <x:c r="R178" s="36"/>
      <x:c r="T178" s="50"/>
      <x:c r="U178" s="36"/>
      <x:c r="V178" t="str">
        <x:f>IF(S178="Resolved Hit",1,IF(S178="Resolved Miss",0,""))</x:f>
      </x:c>
      <x:c r="W178" s="54" t="str">
        <x:f>IF(OR(V178="",I178=""),"",((I178-V178)^2))</x:f>
      </x:c>
      <x:c r="X178" s="54"/>
      <x:c r="Y178" s="54" t="str">
        <x:f>IF(OR(V178="",X178=""),"",((X178-V178)^2))</x:f>
      </x:c>
      <x:c r="Z178" s="54" t="str">
        <x:f>IF(OR(W178="",Y178=""),"",Y178-W178)</x:f>
      </x:c>
      <x:c r="AC178" t="str">
        <x:f>IF(S178&lt;&gt;"Open","",IF(M178="","No deadline",IF(M178&lt;TODAY(),"OVERDUE",IF(M178&lt;=TODAY()+30,"Due ≤30d","Open"))))</x:f>
      </x:c>
      <x:c r="AF178" s="36"/>
    </x:row>
    <x:row r="179">
      <x:c r="G179" s="48"/>
      <x:c r="H179" s="36"/>
      <x:c r="I179" s="52"/>
      <x:c r="L179" s="50"/>
      <x:c r="M179" s="50"/>
      <x:c r="N179" s="36"/>
      <x:c r="O179" s="36"/>
      <x:c r="P179" s="36"/>
      <x:c r="Q179" s="36"/>
      <x:c r="R179" s="36"/>
      <x:c r="T179" s="50"/>
      <x:c r="U179" s="36"/>
      <x:c r="V179" t="str">
        <x:f>IF(S179="Resolved Hit",1,IF(S179="Resolved Miss",0,""))</x:f>
      </x:c>
      <x:c r="W179" s="54" t="str">
        <x:f>IF(OR(V179="",I179=""),"",((I179-V179)^2))</x:f>
      </x:c>
      <x:c r="X179" s="54"/>
      <x:c r="Y179" s="54" t="str">
        <x:f>IF(OR(V179="",X179=""),"",((X179-V179)^2))</x:f>
      </x:c>
      <x:c r="Z179" s="54" t="str">
        <x:f>IF(OR(W179="",Y179=""),"",Y179-W179)</x:f>
      </x:c>
      <x:c r="AC179" t="str">
        <x:f>IF(S179&lt;&gt;"Open","",IF(M179="","No deadline",IF(M179&lt;TODAY(),"OVERDUE",IF(M179&lt;=TODAY()+30,"Due ≤30d","Open"))))</x:f>
      </x:c>
      <x:c r="AF179" s="36"/>
    </x:row>
    <x:row r="180">
      <x:c r="G180" s="48"/>
      <x:c r="H180" s="36"/>
      <x:c r="I180" s="52"/>
      <x:c r="L180" s="50"/>
      <x:c r="M180" s="50"/>
      <x:c r="N180" s="36"/>
      <x:c r="O180" s="36"/>
      <x:c r="P180" s="36"/>
      <x:c r="Q180" s="36"/>
      <x:c r="R180" s="36"/>
      <x:c r="T180" s="50"/>
      <x:c r="U180" s="36"/>
      <x:c r="V180" t="str">
        <x:f>IF(S180="Resolved Hit",1,IF(S180="Resolved Miss",0,""))</x:f>
      </x:c>
      <x:c r="W180" s="54" t="str">
        <x:f>IF(OR(V180="",I180=""),"",((I180-V180)^2))</x:f>
      </x:c>
      <x:c r="X180" s="54"/>
      <x:c r="Y180" s="54" t="str">
        <x:f>IF(OR(V180="",X180=""),"",((X180-V180)^2))</x:f>
      </x:c>
      <x:c r="Z180" s="54" t="str">
        <x:f>IF(OR(W180="",Y180=""),"",Y180-W180)</x:f>
      </x:c>
      <x:c r="AC180" t="str">
        <x:f>IF(S180&lt;&gt;"Open","",IF(M180="","No deadline",IF(M180&lt;TODAY(),"OVERDUE",IF(M180&lt;=TODAY()+30,"Due ≤30d","Open"))))</x:f>
      </x:c>
      <x:c r="AF180" s="36"/>
    </x:row>
    <x:row r="181">
      <x:c r="G181" s="48"/>
      <x:c r="H181" s="36"/>
      <x:c r="I181" s="52"/>
      <x:c r="L181" s="50"/>
      <x:c r="M181" s="50"/>
      <x:c r="N181" s="36"/>
      <x:c r="O181" s="36"/>
      <x:c r="P181" s="36"/>
      <x:c r="Q181" s="36"/>
      <x:c r="R181" s="36"/>
      <x:c r="T181" s="50"/>
      <x:c r="U181" s="36"/>
      <x:c r="V181" t="str">
        <x:f>IF(S181="Resolved Hit",1,IF(S181="Resolved Miss",0,""))</x:f>
      </x:c>
      <x:c r="W181" s="54" t="str">
        <x:f>IF(OR(V181="",I181=""),"",((I181-V181)^2))</x:f>
      </x:c>
      <x:c r="X181" s="54"/>
      <x:c r="Y181" s="54" t="str">
        <x:f>IF(OR(V181="",X181=""),"",((X181-V181)^2))</x:f>
      </x:c>
      <x:c r="Z181" s="54" t="str">
        <x:f>IF(OR(W181="",Y181=""),"",Y181-W181)</x:f>
      </x:c>
      <x:c r="AC181" t="str">
        <x:f>IF(S181&lt;&gt;"Open","",IF(M181="","No deadline",IF(M181&lt;TODAY(),"OVERDUE",IF(M181&lt;=TODAY()+30,"Due ≤30d","Open"))))</x:f>
      </x:c>
      <x:c r="AF181" s="36"/>
    </x:row>
    <x:row r="182">
      <x:c r="G182" s="48"/>
      <x:c r="H182" s="36"/>
      <x:c r="I182" s="52"/>
      <x:c r="L182" s="50"/>
      <x:c r="M182" s="50"/>
      <x:c r="N182" s="36"/>
      <x:c r="O182" s="36"/>
      <x:c r="P182" s="36"/>
      <x:c r="Q182" s="36"/>
      <x:c r="R182" s="36"/>
      <x:c r="T182" s="50"/>
      <x:c r="U182" s="36"/>
      <x:c r="V182" t="str">
        <x:f>IF(S182="Resolved Hit",1,IF(S182="Resolved Miss",0,""))</x:f>
      </x:c>
      <x:c r="W182" s="54" t="str">
        <x:f>IF(OR(V182="",I182=""),"",((I182-V182)^2))</x:f>
      </x:c>
      <x:c r="X182" s="54"/>
      <x:c r="Y182" s="54" t="str">
        <x:f>IF(OR(V182="",X182=""),"",((X182-V182)^2))</x:f>
      </x:c>
      <x:c r="Z182" s="54" t="str">
        <x:f>IF(OR(W182="",Y182=""),"",Y182-W182)</x:f>
      </x:c>
      <x:c r="AC182" t="str">
        <x:f>IF(S182&lt;&gt;"Open","",IF(M182="","No deadline",IF(M182&lt;TODAY(),"OVERDUE",IF(M182&lt;=TODAY()+30,"Due ≤30d","Open"))))</x:f>
      </x:c>
      <x:c r="AF182" s="36"/>
    </x:row>
    <x:row r="183">
      <x:c r="G183" s="48"/>
      <x:c r="H183" s="36"/>
      <x:c r="I183" s="52"/>
      <x:c r="L183" s="50"/>
      <x:c r="M183" s="50"/>
      <x:c r="N183" s="36"/>
      <x:c r="O183" s="36"/>
      <x:c r="P183" s="36"/>
      <x:c r="Q183" s="36"/>
      <x:c r="R183" s="36"/>
      <x:c r="T183" s="50"/>
      <x:c r="U183" s="36"/>
      <x:c r="V183" t="str">
        <x:f>IF(S183="Resolved Hit",1,IF(S183="Resolved Miss",0,""))</x:f>
      </x:c>
      <x:c r="W183" s="54" t="str">
        <x:f>IF(OR(V183="",I183=""),"",((I183-V183)^2))</x:f>
      </x:c>
      <x:c r="X183" s="54"/>
      <x:c r="Y183" s="54" t="str">
        <x:f>IF(OR(V183="",X183=""),"",((X183-V183)^2))</x:f>
      </x:c>
      <x:c r="Z183" s="54" t="str">
        <x:f>IF(OR(W183="",Y183=""),"",Y183-W183)</x:f>
      </x:c>
      <x:c r="AC183" t="str">
        <x:f>IF(S183&lt;&gt;"Open","",IF(M183="","No deadline",IF(M183&lt;TODAY(),"OVERDUE",IF(M183&lt;=TODAY()+30,"Due ≤30d","Open"))))</x:f>
      </x:c>
      <x:c r="AF183" s="36"/>
    </x:row>
    <x:row r="184">
      <x:c r="G184" s="48"/>
      <x:c r="H184" s="36"/>
      <x:c r="I184" s="52"/>
      <x:c r="L184" s="50"/>
      <x:c r="M184" s="50"/>
      <x:c r="N184" s="36"/>
      <x:c r="O184" s="36"/>
      <x:c r="P184" s="36"/>
      <x:c r="Q184" s="36"/>
      <x:c r="R184" s="36"/>
      <x:c r="T184" s="50"/>
      <x:c r="U184" s="36"/>
      <x:c r="V184" t="str">
        <x:f>IF(S184="Resolved Hit",1,IF(S184="Resolved Miss",0,""))</x:f>
      </x:c>
      <x:c r="W184" s="54" t="str">
        <x:f>IF(OR(V184="",I184=""),"",((I184-V184)^2))</x:f>
      </x:c>
      <x:c r="X184" s="54"/>
      <x:c r="Y184" s="54" t="str">
        <x:f>IF(OR(V184="",X184=""),"",((X184-V184)^2))</x:f>
      </x:c>
      <x:c r="Z184" s="54" t="str">
        <x:f>IF(OR(W184="",Y184=""),"",Y184-W184)</x:f>
      </x:c>
      <x:c r="AC184" t="str">
        <x:f>IF(S184&lt;&gt;"Open","",IF(M184="","No deadline",IF(M184&lt;TODAY(),"OVERDUE",IF(M184&lt;=TODAY()+30,"Due ≤30d","Open"))))</x:f>
      </x:c>
      <x:c r="AF184" s="36"/>
    </x:row>
    <x:row r="185">
      <x:c r="G185" s="48"/>
      <x:c r="H185" s="36"/>
      <x:c r="I185" s="52"/>
      <x:c r="L185" s="50"/>
      <x:c r="M185" s="50"/>
      <x:c r="N185" s="36"/>
      <x:c r="O185" s="36"/>
      <x:c r="P185" s="36"/>
      <x:c r="Q185" s="36"/>
      <x:c r="R185" s="36"/>
      <x:c r="T185" s="50"/>
      <x:c r="U185" s="36"/>
      <x:c r="V185" t="str">
        <x:f>IF(S185="Resolved Hit",1,IF(S185="Resolved Miss",0,""))</x:f>
      </x:c>
      <x:c r="W185" s="54" t="str">
        <x:f>IF(OR(V185="",I185=""),"",((I185-V185)^2))</x:f>
      </x:c>
      <x:c r="X185" s="54"/>
      <x:c r="Y185" s="54" t="str">
        <x:f>IF(OR(V185="",X185=""),"",((X185-V185)^2))</x:f>
      </x:c>
      <x:c r="Z185" s="54" t="str">
        <x:f>IF(OR(W185="",Y185=""),"",Y185-W185)</x:f>
      </x:c>
      <x:c r="AC185" t="str">
        <x:f>IF(S185&lt;&gt;"Open","",IF(M185="","No deadline",IF(M185&lt;TODAY(),"OVERDUE",IF(M185&lt;=TODAY()+30,"Due ≤30d","Open"))))</x:f>
      </x:c>
      <x:c r="AF185" s="36"/>
    </x:row>
    <x:row r="186">
      <x:c r="G186" s="48"/>
      <x:c r="H186" s="36"/>
      <x:c r="I186" s="52"/>
      <x:c r="L186" s="50"/>
      <x:c r="M186" s="50"/>
      <x:c r="N186" s="36"/>
      <x:c r="O186" s="36"/>
      <x:c r="P186" s="36"/>
      <x:c r="Q186" s="36"/>
      <x:c r="R186" s="36"/>
      <x:c r="T186" s="50"/>
      <x:c r="U186" s="36"/>
      <x:c r="V186" t="str">
        <x:f>IF(S186="Resolved Hit",1,IF(S186="Resolved Miss",0,""))</x:f>
      </x:c>
      <x:c r="W186" s="54" t="str">
        <x:f>IF(OR(V186="",I186=""),"",((I186-V186)^2))</x:f>
      </x:c>
      <x:c r="X186" s="54"/>
      <x:c r="Y186" s="54" t="str">
        <x:f>IF(OR(V186="",X186=""),"",((X186-V186)^2))</x:f>
      </x:c>
      <x:c r="Z186" s="54" t="str">
        <x:f>IF(OR(W186="",Y186=""),"",Y186-W186)</x:f>
      </x:c>
      <x:c r="AC186" t="str">
        <x:f>IF(S186&lt;&gt;"Open","",IF(M186="","No deadline",IF(M186&lt;TODAY(),"OVERDUE",IF(M186&lt;=TODAY()+30,"Due ≤30d","Open"))))</x:f>
      </x:c>
      <x:c r="AF186" s="36"/>
    </x:row>
    <x:row r="187">
      <x:c r="G187" s="48"/>
      <x:c r="H187" s="36"/>
      <x:c r="I187" s="52"/>
      <x:c r="L187" s="50"/>
      <x:c r="M187" s="50"/>
      <x:c r="N187" s="36"/>
      <x:c r="O187" s="36"/>
      <x:c r="P187" s="36"/>
      <x:c r="Q187" s="36"/>
      <x:c r="R187" s="36"/>
      <x:c r="T187" s="50"/>
      <x:c r="U187" s="36"/>
      <x:c r="V187" t="str">
        <x:f>IF(S187="Resolved Hit",1,IF(S187="Resolved Miss",0,""))</x:f>
      </x:c>
      <x:c r="W187" s="54" t="str">
        <x:f>IF(OR(V187="",I187=""),"",((I187-V187)^2))</x:f>
      </x:c>
      <x:c r="X187" s="54"/>
      <x:c r="Y187" s="54" t="str">
        <x:f>IF(OR(V187="",X187=""),"",((X187-V187)^2))</x:f>
      </x:c>
      <x:c r="Z187" s="54" t="str">
        <x:f>IF(OR(W187="",Y187=""),"",Y187-W187)</x:f>
      </x:c>
      <x:c r="AC187" t="str">
        <x:f>IF(S187&lt;&gt;"Open","",IF(M187="","No deadline",IF(M187&lt;TODAY(),"OVERDUE",IF(M187&lt;=TODAY()+30,"Due ≤30d","Open"))))</x:f>
      </x:c>
      <x:c r="AF187" s="36"/>
    </x:row>
    <x:row r="188">
      <x:c r="G188" s="48"/>
      <x:c r="H188" s="36"/>
      <x:c r="I188" s="52"/>
      <x:c r="L188" s="50"/>
      <x:c r="M188" s="50"/>
      <x:c r="N188" s="36"/>
      <x:c r="O188" s="36"/>
      <x:c r="P188" s="36"/>
      <x:c r="Q188" s="36"/>
      <x:c r="R188" s="36"/>
      <x:c r="T188" s="50"/>
      <x:c r="U188" s="36"/>
      <x:c r="V188" t="str">
        <x:f>IF(S188="Resolved Hit",1,IF(S188="Resolved Miss",0,""))</x:f>
      </x:c>
      <x:c r="W188" s="54" t="str">
        <x:f>IF(OR(V188="",I188=""),"",((I188-V188)^2))</x:f>
      </x:c>
      <x:c r="X188" s="54"/>
      <x:c r="Y188" s="54" t="str">
        <x:f>IF(OR(V188="",X188=""),"",((X188-V188)^2))</x:f>
      </x:c>
      <x:c r="Z188" s="54" t="str">
        <x:f>IF(OR(W188="",Y188=""),"",Y188-W188)</x:f>
      </x:c>
      <x:c r="AC188" t="str">
        <x:f>IF(S188&lt;&gt;"Open","",IF(M188="","No deadline",IF(M188&lt;TODAY(),"OVERDUE",IF(M188&lt;=TODAY()+30,"Due ≤30d","Open"))))</x:f>
      </x:c>
      <x:c r="AF188" s="36"/>
    </x:row>
    <x:row r="189">
      <x:c r="G189" s="48"/>
      <x:c r="H189" s="36"/>
      <x:c r="I189" s="52"/>
      <x:c r="L189" s="50"/>
      <x:c r="M189" s="50"/>
      <x:c r="N189" s="36"/>
      <x:c r="O189" s="36"/>
      <x:c r="P189" s="36"/>
      <x:c r="Q189" s="36"/>
      <x:c r="R189" s="36"/>
      <x:c r="T189" s="50"/>
      <x:c r="U189" s="36"/>
      <x:c r="V189" t="str">
        <x:f>IF(S189="Resolved Hit",1,IF(S189="Resolved Miss",0,""))</x:f>
      </x:c>
      <x:c r="W189" s="54" t="str">
        <x:f>IF(OR(V189="",I189=""),"",((I189-V189)^2))</x:f>
      </x:c>
      <x:c r="X189" s="54"/>
      <x:c r="Y189" s="54" t="str">
        <x:f>IF(OR(V189="",X189=""),"",((X189-V189)^2))</x:f>
      </x:c>
      <x:c r="Z189" s="54" t="str">
        <x:f>IF(OR(W189="",Y189=""),"",Y189-W189)</x:f>
      </x:c>
      <x:c r="AC189" t="str">
        <x:f>IF(S189&lt;&gt;"Open","",IF(M189="","No deadline",IF(M189&lt;TODAY(),"OVERDUE",IF(M189&lt;=TODAY()+30,"Due ≤30d","Open"))))</x:f>
      </x:c>
      <x:c r="AF189" s="36"/>
    </x:row>
    <x:row r="190">
      <x:c r="G190" s="48"/>
      <x:c r="H190" s="36"/>
      <x:c r="I190" s="52"/>
      <x:c r="L190" s="50"/>
      <x:c r="M190" s="50"/>
      <x:c r="N190" s="36"/>
      <x:c r="O190" s="36"/>
      <x:c r="P190" s="36"/>
      <x:c r="Q190" s="36"/>
      <x:c r="R190" s="36"/>
      <x:c r="T190" s="50"/>
      <x:c r="U190" s="36"/>
      <x:c r="V190" t="str">
        <x:f>IF(S190="Resolved Hit",1,IF(S190="Resolved Miss",0,""))</x:f>
      </x:c>
      <x:c r="W190" s="54" t="str">
        <x:f>IF(OR(V190="",I190=""),"",((I190-V190)^2))</x:f>
      </x:c>
      <x:c r="X190" s="54"/>
      <x:c r="Y190" s="54" t="str">
        <x:f>IF(OR(V190="",X190=""),"",((X190-V190)^2))</x:f>
      </x:c>
      <x:c r="Z190" s="54" t="str">
        <x:f>IF(OR(W190="",Y190=""),"",Y190-W190)</x:f>
      </x:c>
      <x:c r="AC190" t="str">
        <x:f>IF(S190&lt;&gt;"Open","",IF(M190="","No deadline",IF(M190&lt;TODAY(),"OVERDUE",IF(M190&lt;=TODAY()+30,"Due ≤30d","Open"))))</x:f>
      </x:c>
      <x:c r="AF190" s="36"/>
    </x:row>
    <x:row r="191">
      <x:c r="G191" s="48"/>
      <x:c r="H191" s="36"/>
      <x:c r="I191" s="52"/>
      <x:c r="L191" s="50"/>
      <x:c r="M191" s="50"/>
      <x:c r="N191" s="36"/>
      <x:c r="O191" s="36"/>
      <x:c r="P191" s="36"/>
      <x:c r="Q191" s="36"/>
      <x:c r="R191" s="36"/>
      <x:c r="T191" s="50"/>
      <x:c r="U191" s="36"/>
      <x:c r="V191" t="str">
        <x:f>IF(S191="Resolved Hit",1,IF(S191="Resolved Miss",0,""))</x:f>
      </x:c>
      <x:c r="W191" s="54" t="str">
        <x:f>IF(OR(V191="",I191=""),"",((I191-V191)^2))</x:f>
      </x:c>
      <x:c r="X191" s="54"/>
      <x:c r="Y191" s="54" t="str">
        <x:f>IF(OR(V191="",X191=""),"",((X191-V191)^2))</x:f>
      </x:c>
      <x:c r="Z191" s="54" t="str">
        <x:f>IF(OR(W191="",Y191=""),"",Y191-W191)</x:f>
      </x:c>
      <x:c r="AC191" t="str">
        <x:f>IF(S191&lt;&gt;"Open","",IF(M191="","No deadline",IF(M191&lt;TODAY(),"OVERDUE",IF(M191&lt;=TODAY()+30,"Due ≤30d","Open"))))</x:f>
      </x:c>
      <x:c r="AF191" s="36"/>
    </x:row>
    <x:row r="192">
      <x:c r="G192" s="48"/>
      <x:c r="H192" s="36"/>
      <x:c r="I192" s="52"/>
      <x:c r="L192" s="50"/>
      <x:c r="M192" s="50"/>
      <x:c r="N192" s="36"/>
      <x:c r="O192" s="36"/>
      <x:c r="P192" s="36"/>
      <x:c r="Q192" s="36"/>
      <x:c r="R192" s="36"/>
      <x:c r="T192" s="50"/>
      <x:c r="U192" s="36"/>
      <x:c r="V192" t="str">
        <x:f>IF(S192="Resolved Hit",1,IF(S192="Resolved Miss",0,""))</x:f>
      </x:c>
      <x:c r="W192" s="54" t="str">
        <x:f>IF(OR(V192="",I192=""),"",((I192-V192)^2))</x:f>
      </x:c>
      <x:c r="X192" s="54"/>
      <x:c r="Y192" s="54" t="str">
        <x:f>IF(OR(V192="",X192=""),"",((X192-V192)^2))</x:f>
      </x:c>
      <x:c r="Z192" s="54" t="str">
        <x:f>IF(OR(W192="",Y192=""),"",Y192-W192)</x:f>
      </x:c>
      <x:c r="AC192" t="str">
        <x:f>IF(S192&lt;&gt;"Open","",IF(M192="","No deadline",IF(M192&lt;TODAY(),"OVERDUE",IF(M192&lt;=TODAY()+30,"Due ≤30d","Open"))))</x:f>
      </x:c>
      <x:c r="AF192" s="36"/>
    </x:row>
    <x:row r="193">
      <x:c r="G193" s="48"/>
      <x:c r="H193" s="36"/>
      <x:c r="I193" s="52"/>
      <x:c r="L193" s="50"/>
      <x:c r="M193" s="50"/>
      <x:c r="N193" s="36"/>
      <x:c r="O193" s="36"/>
      <x:c r="P193" s="36"/>
      <x:c r="Q193" s="36"/>
      <x:c r="R193" s="36"/>
      <x:c r="T193" s="50"/>
      <x:c r="U193" s="36"/>
      <x:c r="V193" t="str">
        <x:f>IF(S193="Resolved Hit",1,IF(S193="Resolved Miss",0,""))</x:f>
      </x:c>
      <x:c r="W193" s="54" t="str">
        <x:f>IF(OR(V193="",I193=""),"",((I193-V193)^2))</x:f>
      </x:c>
      <x:c r="X193" s="54"/>
      <x:c r="Y193" s="54" t="str">
        <x:f>IF(OR(V193="",X193=""),"",((X193-V193)^2))</x:f>
      </x:c>
      <x:c r="Z193" s="54" t="str">
        <x:f>IF(OR(W193="",Y193=""),"",Y193-W193)</x:f>
      </x:c>
      <x:c r="AC193" t="str">
        <x:f>IF(S193&lt;&gt;"Open","",IF(M193="","No deadline",IF(M193&lt;TODAY(),"OVERDUE",IF(M193&lt;=TODAY()+30,"Due ≤30d","Open"))))</x:f>
      </x:c>
      <x:c r="AF193" s="36"/>
    </x:row>
    <x:row r="194">
      <x:c r="G194" s="48"/>
      <x:c r="H194" s="36"/>
      <x:c r="I194" s="52"/>
      <x:c r="L194" s="50"/>
      <x:c r="M194" s="50"/>
      <x:c r="N194" s="36"/>
      <x:c r="O194" s="36"/>
      <x:c r="P194" s="36"/>
      <x:c r="Q194" s="36"/>
      <x:c r="R194" s="36"/>
      <x:c r="T194" s="50"/>
      <x:c r="U194" s="36"/>
      <x:c r="V194" t="str">
        <x:f>IF(S194="Resolved Hit",1,IF(S194="Resolved Miss",0,""))</x:f>
      </x:c>
      <x:c r="W194" s="54" t="str">
        <x:f>IF(OR(V194="",I194=""),"",((I194-V194)^2))</x:f>
      </x:c>
      <x:c r="X194" s="54"/>
      <x:c r="Y194" s="54" t="str">
        <x:f>IF(OR(V194="",X194=""),"",((X194-V194)^2))</x:f>
      </x:c>
      <x:c r="Z194" s="54" t="str">
        <x:f>IF(OR(W194="",Y194=""),"",Y194-W194)</x:f>
      </x:c>
      <x:c r="AC194" t="str">
        <x:f>IF(S194&lt;&gt;"Open","",IF(M194="","No deadline",IF(M194&lt;TODAY(),"OVERDUE",IF(M194&lt;=TODAY()+30,"Due ≤30d","Open"))))</x:f>
      </x:c>
      <x:c r="AF194" s="36"/>
    </x:row>
    <x:row r="195">
      <x:c r="G195" s="48"/>
      <x:c r="H195" s="36"/>
      <x:c r="I195" s="52"/>
      <x:c r="L195" s="50"/>
      <x:c r="M195" s="50"/>
      <x:c r="N195" s="36"/>
      <x:c r="O195" s="36"/>
      <x:c r="P195" s="36"/>
      <x:c r="Q195" s="36"/>
      <x:c r="R195" s="36"/>
      <x:c r="T195" s="50"/>
      <x:c r="U195" s="36"/>
      <x:c r="V195" t="str">
        <x:f>IF(S195="Resolved Hit",1,IF(S195="Resolved Miss",0,""))</x:f>
      </x:c>
      <x:c r="W195" s="54" t="str">
        <x:f>IF(OR(V195="",I195=""),"",((I195-V195)^2))</x:f>
      </x:c>
      <x:c r="X195" s="54"/>
      <x:c r="Y195" s="54" t="str">
        <x:f>IF(OR(V195="",X195=""),"",((X195-V195)^2))</x:f>
      </x:c>
      <x:c r="Z195" s="54" t="str">
        <x:f>IF(OR(W195="",Y195=""),"",Y195-W195)</x:f>
      </x:c>
      <x:c r="AC195" t="str">
        <x:f>IF(S195&lt;&gt;"Open","",IF(M195="","No deadline",IF(M195&lt;TODAY(),"OVERDUE",IF(M195&lt;=TODAY()+30,"Due ≤30d","Open"))))</x:f>
      </x:c>
      <x:c r="AF195" s="36"/>
    </x:row>
    <x:row r="196">
      <x:c r="G196" s="48"/>
      <x:c r="H196" s="36"/>
      <x:c r="I196" s="52"/>
      <x:c r="L196" s="50"/>
      <x:c r="M196" s="50"/>
      <x:c r="N196" s="36"/>
      <x:c r="O196" s="36"/>
      <x:c r="P196" s="36"/>
      <x:c r="Q196" s="36"/>
      <x:c r="R196" s="36"/>
      <x:c r="T196" s="50"/>
      <x:c r="U196" s="36"/>
      <x:c r="V196" t="str">
        <x:f>IF(S196="Resolved Hit",1,IF(S196="Resolved Miss",0,""))</x:f>
      </x:c>
      <x:c r="W196" s="54" t="str">
        <x:f>IF(OR(V196="",I196=""),"",((I196-V196)^2))</x:f>
      </x:c>
      <x:c r="X196" s="54"/>
      <x:c r="Y196" s="54" t="str">
        <x:f>IF(OR(V196="",X196=""),"",((X196-V196)^2))</x:f>
      </x:c>
      <x:c r="Z196" s="54" t="str">
        <x:f>IF(OR(W196="",Y196=""),"",Y196-W196)</x:f>
      </x:c>
      <x:c r="AC196" t="str">
        <x:f>IF(S196&lt;&gt;"Open","",IF(M196="","No deadline",IF(M196&lt;TODAY(),"OVERDUE",IF(M196&lt;=TODAY()+30,"Due ≤30d","Open"))))</x:f>
      </x:c>
      <x:c r="AF196" s="36"/>
    </x:row>
    <x:row r="197">
      <x:c r="G197" s="48"/>
      <x:c r="H197" s="36"/>
      <x:c r="I197" s="52"/>
      <x:c r="L197" s="50"/>
      <x:c r="M197" s="50"/>
      <x:c r="N197" s="36"/>
      <x:c r="O197" s="36"/>
      <x:c r="P197" s="36"/>
      <x:c r="Q197" s="36"/>
      <x:c r="R197" s="36"/>
      <x:c r="T197" s="50"/>
      <x:c r="U197" s="36"/>
      <x:c r="V197" t="str">
        <x:f>IF(S197="Resolved Hit",1,IF(S197="Resolved Miss",0,""))</x:f>
      </x:c>
      <x:c r="W197" s="54" t="str">
        <x:f>IF(OR(V197="",I197=""),"",((I197-V197)^2))</x:f>
      </x:c>
      <x:c r="X197" s="54"/>
      <x:c r="Y197" s="54" t="str">
        <x:f>IF(OR(V197="",X197=""),"",((X197-V197)^2))</x:f>
      </x:c>
      <x:c r="Z197" s="54" t="str">
        <x:f>IF(OR(W197="",Y197=""),"",Y197-W197)</x:f>
      </x:c>
      <x:c r="AC197" t="str">
        <x:f>IF(S197&lt;&gt;"Open","",IF(M197="","No deadline",IF(M197&lt;TODAY(),"OVERDUE",IF(M197&lt;=TODAY()+30,"Due ≤30d","Open"))))</x:f>
      </x:c>
      <x:c r="AF197" s="36"/>
    </x:row>
    <x:row r="198">
      <x:c r="G198" s="48"/>
      <x:c r="H198" s="36"/>
      <x:c r="I198" s="52"/>
      <x:c r="L198" s="50"/>
      <x:c r="M198" s="50"/>
      <x:c r="N198" s="36"/>
      <x:c r="O198" s="36"/>
      <x:c r="P198" s="36"/>
      <x:c r="Q198" s="36"/>
      <x:c r="R198" s="36"/>
      <x:c r="T198" s="50"/>
      <x:c r="U198" s="36"/>
      <x:c r="V198" t="str">
        <x:f>IF(S198="Resolved Hit",1,IF(S198="Resolved Miss",0,""))</x:f>
      </x:c>
      <x:c r="W198" s="54" t="str">
        <x:f>IF(OR(V198="",I198=""),"",((I198-V198)^2))</x:f>
      </x:c>
      <x:c r="X198" s="54"/>
      <x:c r="Y198" s="54" t="str">
        <x:f>IF(OR(V198="",X198=""),"",((X198-V198)^2))</x:f>
      </x:c>
      <x:c r="Z198" s="54" t="str">
        <x:f>IF(OR(W198="",Y198=""),"",Y198-W198)</x:f>
      </x:c>
      <x:c r="AC198" t="str">
        <x:f>IF(S198&lt;&gt;"Open","",IF(M198="","No deadline",IF(M198&lt;TODAY(),"OVERDUE",IF(M198&lt;=TODAY()+30,"Due ≤30d","Open"))))</x:f>
      </x:c>
      <x:c r="AF198" s="36"/>
    </x:row>
    <x:row r="199">
      <x:c r="G199" s="48"/>
      <x:c r="H199" s="36"/>
      <x:c r="I199" s="52"/>
      <x:c r="L199" s="50"/>
      <x:c r="M199" s="50"/>
      <x:c r="N199" s="36"/>
      <x:c r="O199" s="36"/>
      <x:c r="P199" s="36"/>
      <x:c r="Q199" s="36"/>
      <x:c r="R199" s="36"/>
      <x:c r="T199" s="50"/>
      <x:c r="U199" s="36"/>
      <x:c r="V199" t="str">
        <x:f>IF(S199="Resolved Hit",1,IF(S199="Resolved Miss",0,""))</x:f>
      </x:c>
      <x:c r="W199" s="54" t="str">
        <x:f>IF(OR(V199="",I199=""),"",((I199-V199)^2))</x:f>
      </x:c>
      <x:c r="X199" s="54"/>
      <x:c r="Y199" s="54" t="str">
        <x:f>IF(OR(V199="",X199=""),"",((X199-V199)^2))</x:f>
      </x:c>
      <x:c r="Z199" s="54" t="str">
        <x:f>IF(OR(W199="",Y199=""),"",Y199-W199)</x:f>
      </x:c>
      <x:c r="AC199" t="str">
        <x:f>IF(S199&lt;&gt;"Open","",IF(M199="","No deadline",IF(M199&lt;TODAY(),"OVERDUE",IF(M199&lt;=TODAY()+30,"Due ≤30d","Open"))))</x:f>
      </x:c>
      <x:c r="AF199" s="36"/>
    </x:row>
    <x:row r="200">
      <x:c r="G200" s="48"/>
      <x:c r="H200" s="36"/>
      <x:c r="I200" s="52"/>
      <x:c r="L200" s="50"/>
      <x:c r="M200" s="50"/>
      <x:c r="N200" s="36"/>
      <x:c r="O200" s="36"/>
      <x:c r="P200" s="36"/>
      <x:c r="Q200" s="36"/>
      <x:c r="R200" s="36"/>
      <x:c r="T200" s="50"/>
      <x:c r="U200" s="36"/>
      <x:c r="V200" t="str">
        <x:f>IF(S200="Resolved Hit",1,IF(S200="Resolved Miss",0,""))</x:f>
      </x:c>
      <x:c r="W200" s="54" t="str">
        <x:f>IF(OR(V200="",I200=""),"",((I200-V200)^2))</x:f>
      </x:c>
      <x:c r="X200" s="54"/>
      <x:c r="Y200" s="54" t="str">
        <x:f>IF(OR(V200="",X200=""),"",((X200-V200)^2))</x:f>
      </x:c>
      <x:c r="Z200" s="54" t="str">
        <x:f>IF(OR(W200="",Y200=""),"",Y200-W200)</x:f>
      </x:c>
      <x:c r="AC200" t="str">
        <x:f>IF(S200&lt;&gt;"Open","",IF(M200="","No deadline",IF(M200&lt;TODAY(),"OVERDUE",IF(M200&lt;=TODAY()+30,"Due ≤30d","Open"))))</x:f>
      </x:c>
      <x:c r="AF200" s="36"/>
    </x:row>
    <x:row r="201">
      <x:c r="G201" s="48"/>
      <x:c r="H201" s="36"/>
      <x:c r="I201" s="52"/>
      <x:c r="L201" s="50"/>
      <x:c r="M201" s="50"/>
      <x:c r="N201" s="36"/>
      <x:c r="O201" s="36"/>
      <x:c r="P201" s="36"/>
      <x:c r="Q201" s="36"/>
      <x:c r="R201" s="36"/>
      <x:c r="T201" s="50"/>
      <x:c r="U201" s="36"/>
      <x:c r="V201" t="str">
        <x:f>IF(S201="Resolved Hit",1,IF(S201="Resolved Miss",0,""))</x:f>
      </x:c>
      <x:c r="W201" s="54" t="str">
        <x:f>IF(OR(V201="",I201=""),"",((I201-V201)^2))</x:f>
      </x:c>
      <x:c r="X201" s="54"/>
      <x:c r="Y201" s="54" t="str">
        <x:f>IF(OR(V201="",X201=""),"",((X201-V201)^2))</x:f>
      </x:c>
      <x:c r="Z201" s="54" t="str">
        <x:f>IF(OR(W201="",Y201=""),"",Y201-W201)</x:f>
      </x:c>
      <x:c r="AC201" t="str">
        <x:f>IF(S201&lt;&gt;"Open","",IF(M201="","No deadline",IF(M201&lt;TODAY(),"OVERDUE",IF(M201&lt;=TODAY()+30,"Due ≤30d","Open"))))</x:f>
      </x:c>
      <x:c r="AF201" s="36"/>
    </x:row>
    <x:row r="202">
      <x:c r="G202" s="48"/>
      <x:c r="H202" s="36"/>
      <x:c r="I202" s="52"/>
      <x:c r="L202" s="50"/>
      <x:c r="M202" s="50"/>
      <x:c r="N202" s="36"/>
      <x:c r="O202" s="36"/>
      <x:c r="P202" s="36"/>
      <x:c r="Q202" s="36"/>
      <x:c r="R202" s="36"/>
      <x:c r="T202" s="50"/>
      <x:c r="U202" s="36"/>
      <x:c r="V202" t="str">
        <x:f>IF(S202="Resolved Hit",1,IF(S202="Resolved Miss",0,""))</x:f>
      </x:c>
      <x:c r="W202" s="54" t="str">
        <x:f>IF(OR(V202="",I202=""),"",((I202-V202)^2))</x:f>
      </x:c>
      <x:c r="X202" s="54"/>
      <x:c r="Y202" s="54" t="str">
        <x:f>IF(OR(V202="",X202=""),"",((X202-V202)^2))</x:f>
      </x:c>
      <x:c r="Z202" s="54" t="str">
        <x:f>IF(OR(W202="",Y202=""),"",Y202-W202)</x:f>
      </x:c>
      <x:c r="AC202" t="str">
        <x:f>IF(S202&lt;&gt;"Open","",IF(M202="","No deadline",IF(M202&lt;TODAY(),"OVERDUE",IF(M202&lt;=TODAY()+30,"Due ≤30d","Open"))))</x:f>
      </x:c>
      <x:c r="AF202" s="36"/>
    </x:row>
    <x:row r="203">
      <x:c r="G203" s="48"/>
      <x:c r="H203" s="36"/>
      <x:c r="I203" s="52"/>
      <x:c r="L203" s="50"/>
      <x:c r="M203" s="50"/>
      <x:c r="N203" s="36"/>
      <x:c r="O203" s="36"/>
      <x:c r="P203" s="36"/>
      <x:c r="Q203" s="36"/>
      <x:c r="R203" s="36"/>
      <x:c r="T203" s="50"/>
      <x:c r="U203" s="36"/>
      <x:c r="V203" t="str">
        <x:f>IF(S203="Resolved Hit",1,IF(S203="Resolved Miss",0,""))</x:f>
      </x:c>
      <x:c r="W203" s="54" t="str">
        <x:f>IF(OR(V203="",I203=""),"",((I203-V203)^2))</x:f>
      </x:c>
      <x:c r="X203" s="54"/>
      <x:c r="Y203" s="54" t="str">
        <x:f>IF(OR(V203="",X203=""),"",((X203-V203)^2))</x:f>
      </x:c>
      <x:c r="Z203" s="54" t="str">
        <x:f>IF(OR(W203="",Y203=""),"",Y203-W203)</x:f>
      </x:c>
      <x:c r="AC203" t="str">
        <x:f>IF(S203&lt;&gt;"Open","",IF(M203="","No deadline",IF(M203&lt;TODAY(),"OVERDUE",IF(M203&lt;=TODAY()+30,"Due ≤30d","Open"))))</x:f>
      </x:c>
      <x:c r="AF203" s="36"/>
    </x:row>
    <x:row r="204">
      <x:c r="G204" s="48"/>
      <x:c r="H204" s="36"/>
      <x:c r="I204" s="52"/>
      <x:c r="L204" s="50"/>
      <x:c r="M204" s="50"/>
      <x:c r="N204" s="36"/>
      <x:c r="O204" s="36"/>
      <x:c r="P204" s="36"/>
      <x:c r="Q204" s="36"/>
      <x:c r="R204" s="36"/>
      <x:c r="T204" s="50"/>
      <x:c r="U204" s="36"/>
      <x:c r="V204" t="str">
        <x:f>IF(S204="Resolved Hit",1,IF(S204="Resolved Miss",0,""))</x:f>
      </x:c>
      <x:c r="W204" s="54" t="str">
        <x:f>IF(OR(V204="",I204=""),"",((I204-V204)^2))</x:f>
      </x:c>
      <x:c r="X204" s="54"/>
      <x:c r="Y204" s="54" t="str">
        <x:f>IF(OR(V204="",X204=""),"",((X204-V204)^2))</x:f>
      </x:c>
      <x:c r="Z204" s="54" t="str">
        <x:f>IF(OR(W204="",Y204=""),"",Y204-W204)</x:f>
      </x:c>
      <x:c r="AC204" t="str">
        <x:f>IF(S204&lt;&gt;"Open","",IF(M204="","No deadline",IF(M204&lt;TODAY(),"OVERDUE",IF(M204&lt;=TODAY()+30,"Due ≤30d","Open"))))</x:f>
      </x:c>
      <x:c r="AF204" s="36"/>
    </x:row>
    <x:row r="205">
      <x:c r="G205" s="48"/>
      <x:c r="H205" s="36"/>
      <x:c r="I205" s="52"/>
      <x:c r="L205" s="50"/>
      <x:c r="M205" s="50"/>
      <x:c r="N205" s="36"/>
      <x:c r="O205" s="36"/>
      <x:c r="P205" s="36"/>
      <x:c r="Q205" s="36"/>
      <x:c r="R205" s="36"/>
      <x:c r="T205" s="50"/>
      <x:c r="U205" s="36"/>
      <x:c r="V205" t="str">
        <x:f>IF(S205="Resolved Hit",1,IF(S205="Resolved Miss",0,""))</x:f>
      </x:c>
      <x:c r="W205" s="54" t="str">
        <x:f>IF(OR(V205="",I205=""),"",((I205-V205)^2))</x:f>
      </x:c>
      <x:c r="X205" s="54"/>
      <x:c r="Y205" s="54" t="str">
        <x:f>IF(OR(V205="",X205=""),"",((X205-V205)^2))</x:f>
      </x:c>
      <x:c r="Z205" s="54" t="str">
        <x:f>IF(OR(W205="",Y205=""),"",Y205-W205)</x:f>
      </x:c>
      <x:c r="AC205" t="str">
        <x:f>IF(S205&lt;&gt;"Open","",IF(M205="","No deadline",IF(M205&lt;TODAY(),"OVERDUE",IF(M205&lt;=TODAY()+30,"Due ≤30d","Open"))))</x:f>
      </x:c>
      <x:c r="AF205" s="36"/>
    </x:row>
  </x:sheetData>
  <x:mergeCells>
    <x:mergeCell ref="A1:AF1"/>
    <x:mergeCell ref="A2:AF2"/>
  </x:mergeCells>
  <x:conditionalFormatting sqref="S6:S205">
    <x:cfRule type="expression" dxfId="0" priority="1">
      <x:formula>S6="Resolved Hit"</x:formula>
    </x:cfRule>
    <x:cfRule type="expression" dxfId="1" priority="2">
      <x:formula>S6="Resolved Miss"</x:formula>
    </x:cfRule>
    <x:cfRule type="expression" dxfId="2" priority="3">
      <x:formula>S6="Open"</x:formula>
    </x:cfRule>
  </x:conditionalFormatting>
  <x:conditionalFormatting sqref="AC6:AC205">
    <x:cfRule type="expression" dxfId="3" priority="4">
      <x:formula>AC6="OVERDUE"</x:formula>
    </x:cfRule>
    <x:cfRule type="expression" dxfId="4" priority="5">
      <x:formula>AC6="Due ≤30d"</x:formula>
    </x:cfRule>
  </x:conditionalFormatting>
  <x:conditionalFormatting sqref="Z6:Z205">
    <x:cfRule type="cellIs" dxfId="5" priority="6" operator="greaterThan">
      <x:formula>0</x:formula>
    </x:cfRule>
  </x:conditionalFormatting>
  <x:conditionalFormatting sqref="I6:I205">
    <x:cfRule type="expression" dxfId="6" priority="7">
      <x:formula>OR(I6&lt;0,I6&gt;1)</x:formula>
    </x:cfRule>
  </x:conditionalFormatting>
  <x:conditionalFormatting sqref="X6:X205">
    <x:cfRule type="expression" dxfId="7" priority="8">
      <x:formula>OR(X6&lt;0,X6&gt;1)</x:formula>
    </x:cfRule>
  </x:conditionalFormatting>
  <x:dataValidations count="6">
    <x:dataValidation type="list" sqref="F6:F205">
      <x:formula1>Lookups!$G$2:$G$10</x:formula1>
    </x:dataValidation>
    <x:dataValidation type="list" sqref="J6:J205">
      <x:formula1>Lookups!$D$2:$D$11</x:formula1>
    </x:dataValidation>
    <x:dataValidation type="list" sqref="S6:S205">
      <x:formula1>Lookups!$A$2:$A$5</x:formula1>
    </x:dataValidation>
    <x:dataValidation type="list" sqref="AA6:AA205">
      <x:formula1>Lookups!$B$2:$B$6</x:formula1>
    </x:dataValidation>
    <x:dataValidation type="list" sqref="AB6:AB205">
      <x:formula1>Lookups!$C$2:$C$6</x:formula1>
    </x:dataValidation>
    <x:dataValidation type="list" sqref="AE6:AE205">
      <x:formula1>Lookups!$E$2:$E$6</x:formula1>
    </x:dataValidation>
  </x:dataValidations>
  <x:pageMargins left="0.7" right="0.7" top="0.75" bottom="0.75" header="0.3" footer="0.3"/>
  <x:tableParts count="1">
    <x:tablePart xmlns:r="http://schemas.openxmlformats.org/officeDocument/2006/relationships" r:id="R71f227cf0a714fdc"/>
  </x:tableParts>
</x:worksheet>
</file>

<file path=xl/worksheets/sheet4.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10" hidden="0" customWidth="1"/>
    <x:col min="5" max="5" width="28" hidden="0" customWidth="1"/>
    <x:col min="6" max="6" width="12" hidden="0" customWidth="1"/>
    <x:col min="7" max="7" width="10" hidden="0" customWidth="1"/>
    <x:col min="8" max="8" width="8" hidden="0" customWidth="1"/>
    <x:col min="9" max="9" width="10" hidden="0" customWidth="1"/>
    <x:col min="10" max="10" width="12" hidden="0" customWidth="1"/>
    <x:col min="11" max="11" width="16" hidden="0" customWidth="1"/>
    <x:col min="12" max="12" width="16" hidden="0" customWidth="1"/>
  </x:cols>
  <x:sheetData>
    <x:row r="1">
      <x:c r="A1" s="5" t="str">
        <x:v>Claimant / Method Performance</x:v>
      </x:c>
      <x:c r="B1" s="5"/>
      <x:c r="C1" s="5"/>
      <x:c r="D1" s="5"/>
      <x:c r="E1" s="5"/>
      <x:c r="F1" s="5"/>
      <x:c r="G1" s="5"/>
      <x:c r="H1" s="5"/>
      <x:c r="I1" s="5"/>
      <x:c r="J1" s="5"/>
      <x:c r="K1" s="5"/>
      <x:c r="L1" s="5"/>
    </x:row>
    <x:row r="3">
      <x:c r="A3" s="30" t="str">
        <x:v>Claimant ID</x:v>
      </x:c>
      <x:c r="B3" s="30" t="str">
        <x:v>Display Name</x:v>
      </x:c>
      <x:c r="C3" s="30" t="str">
        <x:v>Tradition / Method</x:v>
      </x:c>
      <x:c r="D3" s="30" t="str">
        <x:v>Active?</x:v>
      </x:c>
      <x:c r="E3" s="30" t="str">
        <x:v>Notes</x:v>
      </x:c>
      <x:c r="F3" s="30" t="str">
        <x:v>Predictions</x:v>
      </x:c>
      <x:c r="G3" s="30" t="str">
        <x:v>Resolved</x:v>
      </x:c>
      <x:c r="H3" s="30" t="str">
        <x:v>Hits</x:v>
      </x:c>
      <x:c r="I3" s="30" t="str">
        <x:v>Hit Rate</x:v>
      </x:c>
      <x:c r="J3" s="30" t="str">
        <x:v>Mean Brier</x:v>
      </x:c>
      <x:c r="K3" s="30" t="str">
        <x:v>Mean Benchmark Brier</x:v>
      </x:c>
      <x:c r="L3" s="30" t="str">
        <x:v>Mean Brier Improvement</x:v>
      </x:c>
    </x:row>
    <x:row r="4">
      <x:c r="F4" t="str">
        <x:f>IF(A4="","",COUNTIF(Registry!$D$6:$D$205,A4))</x:f>
      </x:c>
      <x:c r="G4" t="str">
        <x:f>IF(A4="","",COUNTIFS(Registry!$D$6:$D$205,A4,Registry!$S$6:$S$205,"Resolved Hit")+COUNTIFS(Registry!$D$6:$D$205,A4,Registry!$S$6:$S$205,"Resolved Miss"))</x:f>
      </x:c>
      <x:c r="H4" t="str">
        <x:f>IF(A4="","",COUNTIFS(Registry!$D$6:$D$205,A4,Registry!$S$6:$S$205,"Resolved Hit"))</x:f>
      </x:c>
      <x:c r="I4" s="56" t="str">
        <x:f>IFERROR(H4/G4,"")</x:f>
      </x:c>
      <x:c r="J4" s="54" t="str">
        <x:f>IFERROR(AVERAGEIF(Registry!$D$6:$D$205,A4,Registry!$W$6:$W$205),"")</x:f>
      </x:c>
      <x:c r="K4" s="54" t="str">
        <x:f>IFERROR(AVERAGEIF(Registry!$D$6:$D$205,A4,Registry!$Y$6:$Y$205),"")</x:f>
      </x:c>
      <x:c r="L4" s="54" t="str">
        <x:f>IFERROR(AVERAGEIF(Registry!$D$6:$D$205,A4,Registry!$Z$6:$Z$205),"")</x:f>
      </x:c>
    </x:row>
    <x:row r="5">
      <x:c r="F5" t="str">
        <x:f>IF(A5="","",COUNTIF(Registry!$D$6:$D$205,A5))</x:f>
      </x:c>
      <x:c r="G5" t="str">
        <x:f>IF(A5="","",COUNTIFS(Registry!$D$6:$D$205,A5,Registry!$S$6:$S$205,"Resolved Hit")+COUNTIFS(Registry!$D$6:$D$205,A5,Registry!$S$6:$S$205,"Resolved Miss"))</x:f>
      </x:c>
      <x:c r="H5" t="str">
        <x:f>IF(A5="","",COUNTIFS(Registry!$D$6:$D$205,A5,Registry!$S$6:$S$205,"Resolved Hit"))</x:f>
      </x:c>
      <x:c r="I5" s="56" t="str">
        <x:f>IFERROR(H5/G5,"")</x:f>
      </x:c>
      <x:c r="J5" s="54" t="str">
        <x:f>IFERROR(AVERAGEIF(Registry!$D$6:$D$205,A5,Registry!$W$6:$W$205),"")</x:f>
      </x:c>
      <x:c r="K5" s="54" t="str">
        <x:f>IFERROR(AVERAGEIF(Registry!$D$6:$D$205,A5,Registry!$Y$6:$Y$205),"")</x:f>
      </x:c>
      <x:c r="L5" s="54" t="str">
        <x:f>IFERROR(AVERAGEIF(Registry!$D$6:$D$205,A5,Registry!$Z$6:$Z$205),"")</x:f>
      </x:c>
    </x:row>
    <x:row r="6">
      <x:c r="F6" t="str">
        <x:f>IF(A6="","",COUNTIF(Registry!$D$6:$D$205,A6))</x:f>
      </x:c>
      <x:c r="G6" t="str">
        <x:f>IF(A6="","",COUNTIFS(Registry!$D$6:$D$205,A6,Registry!$S$6:$S$205,"Resolved Hit")+COUNTIFS(Registry!$D$6:$D$205,A6,Registry!$S$6:$S$205,"Resolved Miss"))</x:f>
      </x:c>
      <x:c r="H6" t="str">
        <x:f>IF(A6="","",COUNTIFS(Registry!$D$6:$D$205,A6,Registry!$S$6:$S$205,"Resolved Hit"))</x:f>
      </x:c>
      <x:c r="I6" s="56" t="str">
        <x:f>IFERROR(H6/G6,"")</x:f>
      </x:c>
      <x:c r="J6" s="54" t="str">
        <x:f>IFERROR(AVERAGEIF(Registry!$D$6:$D$205,A6,Registry!$W$6:$W$205),"")</x:f>
      </x:c>
      <x:c r="K6" s="54" t="str">
        <x:f>IFERROR(AVERAGEIF(Registry!$D$6:$D$205,A6,Registry!$Y$6:$Y$205),"")</x:f>
      </x:c>
      <x:c r="L6" s="54" t="str">
        <x:f>IFERROR(AVERAGEIF(Registry!$D$6:$D$205,A6,Registry!$Z$6:$Z$205),"")</x:f>
      </x:c>
    </x:row>
    <x:row r="7">
      <x:c r="F7" t="str">
        <x:f>IF(A7="","",COUNTIF(Registry!$D$6:$D$205,A7))</x:f>
      </x:c>
      <x:c r="G7" t="str">
        <x:f>IF(A7="","",COUNTIFS(Registry!$D$6:$D$205,A7,Registry!$S$6:$S$205,"Resolved Hit")+COUNTIFS(Registry!$D$6:$D$205,A7,Registry!$S$6:$S$205,"Resolved Miss"))</x:f>
      </x:c>
      <x:c r="H7" t="str">
        <x:f>IF(A7="","",COUNTIFS(Registry!$D$6:$D$205,A7,Registry!$S$6:$S$205,"Resolved Hit"))</x:f>
      </x:c>
      <x:c r="I7" s="56" t="str">
        <x:f>IFERROR(H7/G7,"")</x:f>
      </x:c>
      <x:c r="J7" s="54" t="str">
        <x:f>IFERROR(AVERAGEIF(Registry!$D$6:$D$205,A7,Registry!$W$6:$W$205),"")</x:f>
      </x:c>
      <x:c r="K7" s="54" t="str">
        <x:f>IFERROR(AVERAGEIF(Registry!$D$6:$D$205,A7,Registry!$Y$6:$Y$205),"")</x:f>
      </x:c>
      <x:c r="L7" s="54" t="str">
        <x:f>IFERROR(AVERAGEIF(Registry!$D$6:$D$205,A7,Registry!$Z$6:$Z$205),"")</x:f>
      </x:c>
    </x:row>
    <x:row r="8">
      <x:c r="F8" t="str">
        <x:f>IF(A8="","",COUNTIF(Registry!$D$6:$D$205,A8))</x:f>
      </x:c>
      <x:c r="G8" t="str">
        <x:f>IF(A8="","",COUNTIFS(Registry!$D$6:$D$205,A8,Registry!$S$6:$S$205,"Resolved Hit")+COUNTIFS(Registry!$D$6:$D$205,A8,Registry!$S$6:$S$205,"Resolved Miss"))</x:f>
      </x:c>
      <x:c r="H8" t="str">
        <x:f>IF(A8="","",COUNTIFS(Registry!$D$6:$D$205,A8,Registry!$S$6:$S$205,"Resolved Hit"))</x:f>
      </x:c>
      <x:c r="I8" s="56" t="str">
        <x:f>IFERROR(H8/G8,"")</x:f>
      </x:c>
      <x:c r="J8" s="54" t="str">
        <x:f>IFERROR(AVERAGEIF(Registry!$D$6:$D$205,A8,Registry!$W$6:$W$205),"")</x:f>
      </x:c>
      <x:c r="K8" s="54" t="str">
        <x:f>IFERROR(AVERAGEIF(Registry!$D$6:$D$205,A8,Registry!$Y$6:$Y$205),"")</x:f>
      </x:c>
      <x:c r="L8" s="54" t="str">
        <x:f>IFERROR(AVERAGEIF(Registry!$D$6:$D$205,A8,Registry!$Z$6:$Z$205),"")</x:f>
      </x:c>
    </x:row>
    <x:row r="9">
      <x:c r="F9" t="str">
        <x:f>IF(A9="","",COUNTIF(Registry!$D$6:$D$205,A9))</x:f>
      </x:c>
      <x:c r="G9" t="str">
        <x:f>IF(A9="","",COUNTIFS(Registry!$D$6:$D$205,A9,Registry!$S$6:$S$205,"Resolved Hit")+COUNTIFS(Registry!$D$6:$D$205,A9,Registry!$S$6:$S$205,"Resolved Miss"))</x:f>
      </x:c>
      <x:c r="H9" t="str">
        <x:f>IF(A9="","",COUNTIFS(Registry!$D$6:$D$205,A9,Registry!$S$6:$S$205,"Resolved Hit"))</x:f>
      </x:c>
      <x:c r="I9" s="56" t="str">
        <x:f>IFERROR(H9/G9,"")</x:f>
      </x:c>
      <x:c r="J9" s="54" t="str">
        <x:f>IFERROR(AVERAGEIF(Registry!$D$6:$D$205,A9,Registry!$W$6:$W$205),"")</x:f>
      </x:c>
      <x:c r="K9" s="54" t="str">
        <x:f>IFERROR(AVERAGEIF(Registry!$D$6:$D$205,A9,Registry!$Y$6:$Y$205),"")</x:f>
      </x:c>
      <x:c r="L9" s="54" t="str">
        <x:f>IFERROR(AVERAGEIF(Registry!$D$6:$D$205,A9,Registry!$Z$6:$Z$205),"")</x:f>
      </x:c>
    </x:row>
    <x:row r="10">
      <x:c r="F10" t="str">
        <x:f>IF(A10="","",COUNTIF(Registry!$D$6:$D$205,A10))</x:f>
      </x:c>
      <x:c r="G10" t="str">
        <x:f>IF(A10="","",COUNTIFS(Registry!$D$6:$D$205,A10,Registry!$S$6:$S$205,"Resolved Hit")+COUNTIFS(Registry!$D$6:$D$205,A10,Registry!$S$6:$S$205,"Resolved Miss"))</x:f>
      </x:c>
      <x:c r="H10" t="str">
        <x:f>IF(A10="","",COUNTIFS(Registry!$D$6:$D$205,A10,Registry!$S$6:$S$205,"Resolved Hit"))</x:f>
      </x:c>
      <x:c r="I10" s="56" t="str">
        <x:f>IFERROR(H10/G10,"")</x:f>
      </x:c>
      <x:c r="J10" s="54" t="str">
        <x:f>IFERROR(AVERAGEIF(Registry!$D$6:$D$205,A10,Registry!$W$6:$W$205),"")</x:f>
      </x:c>
      <x:c r="K10" s="54" t="str">
        <x:f>IFERROR(AVERAGEIF(Registry!$D$6:$D$205,A10,Registry!$Y$6:$Y$205),"")</x:f>
      </x:c>
      <x:c r="L10" s="54" t="str">
        <x:f>IFERROR(AVERAGEIF(Registry!$D$6:$D$205,A10,Registry!$Z$6:$Z$205),"")</x:f>
      </x:c>
    </x:row>
    <x:row r="11">
      <x:c r="F11" t="str">
        <x:f>IF(A11="","",COUNTIF(Registry!$D$6:$D$205,A11))</x:f>
      </x:c>
      <x:c r="G11" t="str">
        <x:f>IF(A11="","",COUNTIFS(Registry!$D$6:$D$205,A11,Registry!$S$6:$S$205,"Resolved Hit")+COUNTIFS(Registry!$D$6:$D$205,A11,Registry!$S$6:$S$205,"Resolved Miss"))</x:f>
      </x:c>
      <x:c r="H11" t="str">
        <x:f>IF(A11="","",COUNTIFS(Registry!$D$6:$D$205,A11,Registry!$S$6:$S$205,"Resolved Hit"))</x:f>
      </x:c>
      <x:c r="I11" s="56" t="str">
        <x:f>IFERROR(H11/G11,"")</x:f>
      </x:c>
      <x:c r="J11" s="54" t="str">
        <x:f>IFERROR(AVERAGEIF(Registry!$D$6:$D$205,A11,Registry!$W$6:$W$205),"")</x:f>
      </x:c>
      <x:c r="K11" s="54" t="str">
        <x:f>IFERROR(AVERAGEIF(Registry!$D$6:$D$205,A11,Registry!$Y$6:$Y$205),"")</x:f>
      </x:c>
      <x:c r="L11" s="54" t="str">
        <x:f>IFERROR(AVERAGEIF(Registry!$D$6:$D$205,A11,Registry!$Z$6:$Z$205),"")</x:f>
      </x:c>
    </x:row>
    <x:row r="12">
      <x:c r="F12" t="str">
        <x:f>IF(A12="","",COUNTIF(Registry!$D$6:$D$205,A12))</x:f>
      </x:c>
      <x:c r="G12" t="str">
        <x:f>IF(A12="","",COUNTIFS(Registry!$D$6:$D$205,A12,Registry!$S$6:$S$205,"Resolved Hit")+COUNTIFS(Registry!$D$6:$D$205,A12,Registry!$S$6:$S$205,"Resolved Miss"))</x:f>
      </x:c>
      <x:c r="H12" t="str">
        <x:f>IF(A12="","",COUNTIFS(Registry!$D$6:$D$205,A12,Registry!$S$6:$S$205,"Resolved Hit"))</x:f>
      </x:c>
      <x:c r="I12" s="56" t="str">
        <x:f>IFERROR(H12/G12,"")</x:f>
      </x:c>
      <x:c r="J12" s="54" t="str">
        <x:f>IFERROR(AVERAGEIF(Registry!$D$6:$D$205,A12,Registry!$W$6:$W$205),"")</x:f>
      </x:c>
      <x:c r="K12" s="54" t="str">
        <x:f>IFERROR(AVERAGEIF(Registry!$D$6:$D$205,A12,Registry!$Y$6:$Y$205),"")</x:f>
      </x:c>
      <x:c r="L12" s="54" t="str">
        <x:f>IFERROR(AVERAGEIF(Registry!$D$6:$D$205,A12,Registry!$Z$6:$Z$205),"")</x:f>
      </x:c>
    </x:row>
    <x:row r="13">
      <x:c r="F13" t="str">
        <x:f>IF(A13="","",COUNTIF(Registry!$D$6:$D$205,A13))</x:f>
      </x:c>
      <x:c r="G13" t="str">
        <x:f>IF(A13="","",COUNTIFS(Registry!$D$6:$D$205,A13,Registry!$S$6:$S$205,"Resolved Hit")+COUNTIFS(Registry!$D$6:$D$205,A13,Registry!$S$6:$S$205,"Resolved Miss"))</x:f>
      </x:c>
      <x:c r="H13" t="str">
        <x:f>IF(A13="","",COUNTIFS(Registry!$D$6:$D$205,A13,Registry!$S$6:$S$205,"Resolved Hit"))</x:f>
      </x:c>
      <x:c r="I13" s="56" t="str">
        <x:f>IFERROR(H13/G13,"")</x:f>
      </x:c>
      <x:c r="J13" s="54" t="str">
        <x:f>IFERROR(AVERAGEIF(Registry!$D$6:$D$205,A13,Registry!$W$6:$W$205),"")</x:f>
      </x:c>
      <x:c r="K13" s="54" t="str">
        <x:f>IFERROR(AVERAGEIF(Registry!$D$6:$D$205,A13,Registry!$Y$6:$Y$205),"")</x:f>
      </x:c>
      <x:c r="L13" s="54" t="str">
        <x:f>IFERROR(AVERAGEIF(Registry!$D$6:$D$205,A13,Registry!$Z$6:$Z$205),"")</x:f>
      </x:c>
    </x:row>
    <x:row r="14">
      <x:c r="F14" t="str">
        <x:f>IF(A14="","",COUNTIF(Registry!$D$6:$D$205,A14))</x:f>
      </x:c>
      <x:c r="G14" t="str">
        <x:f>IF(A14="","",COUNTIFS(Registry!$D$6:$D$205,A14,Registry!$S$6:$S$205,"Resolved Hit")+COUNTIFS(Registry!$D$6:$D$205,A14,Registry!$S$6:$S$205,"Resolved Miss"))</x:f>
      </x:c>
      <x:c r="H14" t="str">
        <x:f>IF(A14="","",COUNTIFS(Registry!$D$6:$D$205,A14,Registry!$S$6:$S$205,"Resolved Hit"))</x:f>
      </x:c>
      <x:c r="I14" s="56" t="str">
        <x:f>IFERROR(H14/G14,"")</x:f>
      </x:c>
      <x:c r="J14" s="54" t="str">
        <x:f>IFERROR(AVERAGEIF(Registry!$D$6:$D$205,A14,Registry!$W$6:$W$205),"")</x:f>
      </x:c>
      <x:c r="K14" s="54" t="str">
        <x:f>IFERROR(AVERAGEIF(Registry!$D$6:$D$205,A14,Registry!$Y$6:$Y$205),"")</x:f>
      </x:c>
      <x:c r="L14" s="54" t="str">
        <x:f>IFERROR(AVERAGEIF(Registry!$D$6:$D$205,A14,Registry!$Z$6:$Z$205),"")</x:f>
      </x:c>
    </x:row>
    <x:row r="15">
      <x:c r="F15" t="str">
        <x:f>IF(A15="","",COUNTIF(Registry!$D$6:$D$205,A15))</x:f>
      </x:c>
      <x:c r="G15" t="str">
        <x:f>IF(A15="","",COUNTIFS(Registry!$D$6:$D$205,A15,Registry!$S$6:$S$205,"Resolved Hit")+COUNTIFS(Registry!$D$6:$D$205,A15,Registry!$S$6:$S$205,"Resolved Miss"))</x:f>
      </x:c>
      <x:c r="H15" t="str">
        <x:f>IF(A15="","",COUNTIFS(Registry!$D$6:$D$205,A15,Registry!$S$6:$S$205,"Resolved Hit"))</x:f>
      </x:c>
      <x:c r="I15" s="56" t="str">
        <x:f>IFERROR(H15/G15,"")</x:f>
      </x:c>
      <x:c r="J15" s="54" t="str">
        <x:f>IFERROR(AVERAGEIF(Registry!$D$6:$D$205,A15,Registry!$W$6:$W$205),"")</x:f>
      </x:c>
      <x:c r="K15" s="54" t="str">
        <x:f>IFERROR(AVERAGEIF(Registry!$D$6:$D$205,A15,Registry!$Y$6:$Y$205),"")</x:f>
      </x:c>
      <x:c r="L15" s="54" t="str">
        <x:f>IFERROR(AVERAGEIF(Registry!$D$6:$D$205,A15,Registry!$Z$6:$Z$205),"")</x:f>
      </x:c>
    </x:row>
    <x:row r="16">
      <x:c r="F16" t="str">
        <x:f>IF(A16="","",COUNTIF(Registry!$D$6:$D$205,A16))</x:f>
      </x:c>
      <x:c r="G16" t="str">
        <x:f>IF(A16="","",COUNTIFS(Registry!$D$6:$D$205,A16,Registry!$S$6:$S$205,"Resolved Hit")+COUNTIFS(Registry!$D$6:$D$205,A16,Registry!$S$6:$S$205,"Resolved Miss"))</x:f>
      </x:c>
      <x:c r="H16" t="str">
        <x:f>IF(A16="","",COUNTIFS(Registry!$D$6:$D$205,A16,Registry!$S$6:$S$205,"Resolved Hit"))</x:f>
      </x:c>
      <x:c r="I16" s="56" t="str">
        <x:f>IFERROR(H16/G16,"")</x:f>
      </x:c>
      <x:c r="J16" s="54" t="str">
        <x:f>IFERROR(AVERAGEIF(Registry!$D$6:$D$205,A16,Registry!$W$6:$W$205),"")</x:f>
      </x:c>
      <x:c r="K16" s="54" t="str">
        <x:f>IFERROR(AVERAGEIF(Registry!$D$6:$D$205,A16,Registry!$Y$6:$Y$205),"")</x:f>
      </x:c>
      <x:c r="L16" s="54" t="str">
        <x:f>IFERROR(AVERAGEIF(Registry!$D$6:$D$205,A16,Registry!$Z$6:$Z$205),"")</x:f>
      </x:c>
    </x:row>
    <x:row r="17">
      <x:c r="F17" t="str">
        <x:f>IF(A17="","",COUNTIF(Registry!$D$6:$D$205,A17))</x:f>
      </x:c>
      <x:c r="G17" t="str">
        <x:f>IF(A17="","",COUNTIFS(Registry!$D$6:$D$205,A17,Registry!$S$6:$S$205,"Resolved Hit")+COUNTIFS(Registry!$D$6:$D$205,A17,Registry!$S$6:$S$205,"Resolved Miss"))</x:f>
      </x:c>
      <x:c r="H17" t="str">
        <x:f>IF(A17="","",COUNTIFS(Registry!$D$6:$D$205,A17,Registry!$S$6:$S$205,"Resolved Hit"))</x:f>
      </x:c>
      <x:c r="I17" s="56" t="str">
        <x:f>IFERROR(H17/G17,"")</x:f>
      </x:c>
      <x:c r="J17" s="54" t="str">
        <x:f>IFERROR(AVERAGEIF(Registry!$D$6:$D$205,A17,Registry!$W$6:$W$205),"")</x:f>
      </x:c>
      <x:c r="K17" s="54" t="str">
        <x:f>IFERROR(AVERAGEIF(Registry!$D$6:$D$205,A17,Registry!$Y$6:$Y$205),"")</x:f>
      </x:c>
      <x:c r="L17" s="54" t="str">
        <x:f>IFERROR(AVERAGEIF(Registry!$D$6:$D$205,A17,Registry!$Z$6:$Z$205),"")</x:f>
      </x:c>
    </x:row>
    <x:row r="18">
      <x:c r="F18" t="str">
        <x:f>IF(A18="","",COUNTIF(Registry!$D$6:$D$205,A18))</x:f>
      </x:c>
      <x:c r="G18" t="str">
        <x:f>IF(A18="","",COUNTIFS(Registry!$D$6:$D$205,A18,Registry!$S$6:$S$205,"Resolved Hit")+COUNTIFS(Registry!$D$6:$D$205,A18,Registry!$S$6:$S$205,"Resolved Miss"))</x:f>
      </x:c>
      <x:c r="H18" t="str">
        <x:f>IF(A18="","",COUNTIFS(Registry!$D$6:$D$205,A18,Registry!$S$6:$S$205,"Resolved Hit"))</x:f>
      </x:c>
      <x:c r="I18" s="56" t="str">
        <x:f>IFERROR(H18/G18,"")</x:f>
      </x:c>
      <x:c r="J18" s="54" t="str">
        <x:f>IFERROR(AVERAGEIF(Registry!$D$6:$D$205,A18,Registry!$W$6:$W$205),"")</x:f>
      </x:c>
      <x:c r="K18" s="54" t="str">
        <x:f>IFERROR(AVERAGEIF(Registry!$D$6:$D$205,A18,Registry!$Y$6:$Y$205),"")</x:f>
      </x:c>
      <x:c r="L18" s="54" t="str">
        <x:f>IFERROR(AVERAGEIF(Registry!$D$6:$D$205,A18,Registry!$Z$6:$Z$205),"")</x:f>
      </x:c>
    </x:row>
    <x:row r="19">
      <x:c r="F19" t="str">
        <x:f>IF(A19="","",COUNTIF(Registry!$D$6:$D$205,A19))</x:f>
      </x:c>
      <x:c r="G19" t="str">
        <x:f>IF(A19="","",COUNTIFS(Registry!$D$6:$D$205,A19,Registry!$S$6:$S$205,"Resolved Hit")+COUNTIFS(Registry!$D$6:$D$205,A19,Registry!$S$6:$S$205,"Resolved Miss"))</x:f>
      </x:c>
      <x:c r="H19" t="str">
        <x:f>IF(A19="","",COUNTIFS(Registry!$D$6:$D$205,A19,Registry!$S$6:$S$205,"Resolved Hit"))</x:f>
      </x:c>
      <x:c r="I19" s="56" t="str">
        <x:f>IFERROR(H19/G19,"")</x:f>
      </x:c>
      <x:c r="J19" s="54" t="str">
        <x:f>IFERROR(AVERAGEIF(Registry!$D$6:$D$205,A19,Registry!$W$6:$W$205),"")</x:f>
      </x:c>
      <x:c r="K19" s="54" t="str">
        <x:f>IFERROR(AVERAGEIF(Registry!$D$6:$D$205,A19,Registry!$Y$6:$Y$205),"")</x:f>
      </x:c>
      <x:c r="L19" s="54" t="str">
        <x:f>IFERROR(AVERAGEIF(Registry!$D$6:$D$205,A19,Registry!$Z$6:$Z$205),"")</x:f>
      </x:c>
    </x:row>
    <x:row r="20">
      <x:c r="F20" t="str">
        <x:f>IF(A20="","",COUNTIF(Registry!$D$6:$D$205,A20))</x:f>
      </x:c>
      <x:c r="G20" t="str">
        <x:f>IF(A20="","",COUNTIFS(Registry!$D$6:$D$205,A20,Registry!$S$6:$S$205,"Resolved Hit")+COUNTIFS(Registry!$D$6:$D$205,A20,Registry!$S$6:$S$205,"Resolved Miss"))</x:f>
      </x:c>
      <x:c r="H20" t="str">
        <x:f>IF(A20="","",COUNTIFS(Registry!$D$6:$D$205,A20,Registry!$S$6:$S$205,"Resolved Hit"))</x:f>
      </x:c>
      <x:c r="I20" s="56" t="str">
        <x:f>IFERROR(H20/G20,"")</x:f>
      </x:c>
      <x:c r="J20" s="54" t="str">
        <x:f>IFERROR(AVERAGEIF(Registry!$D$6:$D$205,A20,Registry!$W$6:$W$205),"")</x:f>
      </x:c>
      <x:c r="K20" s="54" t="str">
        <x:f>IFERROR(AVERAGEIF(Registry!$D$6:$D$205,A20,Registry!$Y$6:$Y$205),"")</x:f>
      </x:c>
      <x:c r="L20" s="54" t="str">
        <x:f>IFERROR(AVERAGEIF(Registry!$D$6:$D$205,A20,Registry!$Z$6:$Z$205),"")</x:f>
      </x:c>
    </x:row>
    <x:row r="21">
      <x:c r="F21" t="str">
        <x:f>IF(A21="","",COUNTIF(Registry!$D$6:$D$205,A21))</x:f>
      </x:c>
      <x:c r="G21" t="str">
        <x:f>IF(A21="","",COUNTIFS(Registry!$D$6:$D$205,A21,Registry!$S$6:$S$205,"Resolved Hit")+COUNTIFS(Registry!$D$6:$D$205,A21,Registry!$S$6:$S$205,"Resolved Miss"))</x:f>
      </x:c>
      <x:c r="H21" t="str">
        <x:f>IF(A21="","",COUNTIFS(Registry!$D$6:$D$205,A21,Registry!$S$6:$S$205,"Resolved Hit"))</x:f>
      </x:c>
      <x:c r="I21" s="56" t="str">
        <x:f>IFERROR(H21/G21,"")</x:f>
      </x:c>
      <x:c r="J21" s="54" t="str">
        <x:f>IFERROR(AVERAGEIF(Registry!$D$6:$D$205,A21,Registry!$W$6:$W$205),"")</x:f>
      </x:c>
      <x:c r="K21" s="54" t="str">
        <x:f>IFERROR(AVERAGEIF(Registry!$D$6:$D$205,A21,Registry!$Y$6:$Y$205),"")</x:f>
      </x:c>
      <x:c r="L21" s="54" t="str">
        <x:f>IFERROR(AVERAGEIF(Registry!$D$6:$D$205,A21,Registry!$Z$6:$Z$205),"")</x:f>
      </x:c>
    </x:row>
    <x:row r="22">
      <x:c r="F22" t="str">
        <x:f>IF(A22="","",COUNTIF(Registry!$D$6:$D$205,A22))</x:f>
      </x:c>
      <x:c r="G22" t="str">
        <x:f>IF(A22="","",COUNTIFS(Registry!$D$6:$D$205,A22,Registry!$S$6:$S$205,"Resolved Hit")+COUNTIFS(Registry!$D$6:$D$205,A22,Registry!$S$6:$S$205,"Resolved Miss"))</x:f>
      </x:c>
      <x:c r="H22" t="str">
        <x:f>IF(A22="","",COUNTIFS(Registry!$D$6:$D$205,A22,Registry!$S$6:$S$205,"Resolved Hit"))</x:f>
      </x:c>
      <x:c r="I22" s="56" t="str">
        <x:f>IFERROR(H22/G22,"")</x:f>
      </x:c>
      <x:c r="J22" s="54" t="str">
        <x:f>IFERROR(AVERAGEIF(Registry!$D$6:$D$205,A22,Registry!$W$6:$W$205),"")</x:f>
      </x:c>
      <x:c r="K22" s="54" t="str">
        <x:f>IFERROR(AVERAGEIF(Registry!$D$6:$D$205,A22,Registry!$Y$6:$Y$205),"")</x:f>
      </x:c>
      <x:c r="L22" s="54" t="str">
        <x:f>IFERROR(AVERAGEIF(Registry!$D$6:$D$205,A22,Registry!$Z$6:$Z$205),"")</x:f>
      </x:c>
    </x:row>
    <x:row r="23">
      <x:c r="F23" t="str">
        <x:f>IF(A23="","",COUNTIF(Registry!$D$6:$D$205,A23))</x:f>
      </x:c>
      <x:c r="G23" t="str">
        <x:f>IF(A23="","",COUNTIFS(Registry!$D$6:$D$205,A23,Registry!$S$6:$S$205,"Resolved Hit")+COUNTIFS(Registry!$D$6:$D$205,A23,Registry!$S$6:$S$205,"Resolved Miss"))</x:f>
      </x:c>
      <x:c r="H23" t="str">
        <x:f>IF(A23="","",COUNTIFS(Registry!$D$6:$D$205,A23,Registry!$S$6:$S$205,"Resolved Hit"))</x:f>
      </x:c>
      <x:c r="I23" s="56" t="str">
        <x:f>IFERROR(H23/G23,"")</x:f>
      </x:c>
      <x:c r="J23" s="54" t="str">
        <x:f>IFERROR(AVERAGEIF(Registry!$D$6:$D$205,A23,Registry!$W$6:$W$205),"")</x:f>
      </x:c>
      <x:c r="K23" s="54" t="str">
        <x:f>IFERROR(AVERAGEIF(Registry!$D$6:$D$205,A23,Registry!$Y$6:$Y$205),"")</x:f>
      </x:c>
      <x:c r="L23" s="54" t="str">
        <x:f>IFERROR(AVERAGEIF(Registry!$D$6:$D$205,A23,Registry!$Z$6:$Z$205),"")</x:f>
      </x:c>
    </x:row>
    <x:row r="24">
      <x:c r="F24" t="str">
        <x:f>IF(A24="","",COUNTIF(Registry!$D$6:$D$205,A24))</x:f>
      </x:c>
      <x:c r="G24" t="str">
        <x:f>IF(A24="","",COUNTIFS(Registry!$D$6:$D$205,A24,Registry!$S$6:$S$205,"Resolved Hit")+COUNTIFS(Registry!$D$6:$D$205,A24,Registry!$S$6:$S$205,"Resolved Miss"))</x:f>
      </x:c>
      <x:c r="H24" t="str">
        <x:f>IF(A24="","",COUNTIFS(Registry!$D$6:$D$205,A24,Registry!$S$6:$S$205,"Resolved Hit"))</x:f>
      </x:c>
      <x:c r="I24" s="56" t="str">
        <x:f>IFERROR(H24/G24,"")</x:f>
      </x:c>
      <x:c r="J24" s="54" t="str">
        <x:f>IFERROR(AVERAGEIF(Registry!$D$6:$D$205,A24,Registry!$W$6:$W$205),"")</x:f>
      </x:c>
      <x:c r="K24" s="54" t="str">
        <x:f>IFERROR(AVERAGEIF(Registry!$D$6:$D$205,A24,Registry!$Y$6:$Y$205),"")</x:f>
      </x:c>
      <x:c r="L24" s="54" t="str">
        <x:f>IFERROR(AVERAGEIF(Registry!$D$6:$D$205,A24,Registry!$Z$6:$Z$205),"")</x:f>
      </x:c>
    </x:row>
    <x:row r="25">
      <x:c r="F25" t="str">
        <x:f>IF(A25="","",COUNTIF(Registry!$D$6:$D$205,A25))</x:f>
      </x:c>
      <x:c r="G25" t="str">
        <x:f>IF(A25="","",COUNTIFS(Registry!$D$6:$D$205,A25,Registry!$S$6:$S$205,"Resolved Hit")+COUNTIFS(Registry!$D$6:$D$205,A25,Registry!$S$6:$S$205,"Resolved Miss"))</x:f>
      </x:c>
      <x:c r="H25" t="str">
        <x:f>IF(A25="","",COUNTIFS(Registry!$D$6:$D$205,A25,Registry!$S$6:$S$205,"Resolved Hit"))</x:f>
      </x:c>
      <x:c r="I25" s="56" t="str">
        <x:f>IFERROR(H25/G25,"")</x:f>
      </x:c>
      <x:c r="J25" s="54" t="str">
        <x:f>IFERROR(AVERAGEIF(Registry!$D$6:$D$205,A25,Registry!$W$6:$W$205),"")</x:f>
      </x:c>
      <x:c r="K25" s="54" t="str">
        <x:f>IFERROR(AVERAGEIF(Registry!$D$6:$D$205,A25,Registry!$Y$6:$Y$205),"")</x:f>
      </x:c>
      <x:c r="L25" s="54" t="str">
        <x:f>IFERROR(AVERAGEIF(Registry!$D$6:$D$205,A25,Registry!$Z$6:$Z$205),"")</x:f>
      </x:c>
    </x:row>
    <x:row r="26">
      <x:c r="F26" t="str">
        <x:f>IF(A26="","",COUNTIF(Registry!$D$6:$D$205,A26))</x:f>
      </x:c>
      <x:c r="G26" t="str">
        <x:f>IF(A26="","",COUNTIFS(Registry!$D$6:$D$205,A26,Registry!$S$6:$S$205,"Resolved Hit")+COUNTIFS(Registry!$D$6:$D$205,A26,Registry!$S$6:$S$205,"Resolved Miss"))</x:f>
      </x:c>
      <x:c r="H26" t="str">
        <x:f>IF(A26="","",COUNTIFS(Registry!$D$6:$D$205,A26,Registry!$S$6:$S$205,"Resolved Hit"))</x:f>
      </x:c>
      <x:c r="I26" s="56" t="str">
        <x:f>IFERROR(H26/G26,"")</x:f>
      </x:c>
      <x:c r="J26" s="54" t="str">
        <x:f>IFERROR(AVERAGEIF(Registry!$D$6:$D$205,A26,Registry!$W$6:$W$205),"")</x:f>
      </x:c>
      <x:c r="K26" s="54" t="str">
        <x:f>IFERROR(AVERAGEIF(Registry!$D$6:$D$205,A26,Registry!$Y$6:$Y$205),"")</x:f>
      </x:c>
      <x:c r="L26" s="54" t="str">
        <x:f>IFERROR(AVERAGEIF(Registry!$D$6:$D$205,A26,Registry!$Z$6:$Z$205),"")</x:f>
      </x:c>
    </x:row>
    <x:row r="27">
      <x:c r="F27" t="str">
        <x:f>IF(A27="","",COUNTIF(Registry!$D$6:$D$205,A27))</x:f>
      </x:c>
      <x:c r="G27" t="str">
        <x:f>IF(A27="","",COUNTIFS(Registry!$D$6:$D$205,A27,Registry!$S$6:$S$205,"Resolved Hit")+COUNTIFS(Registry!$D$6:$D$205,A27,Registry!$S$6:$S$205,"Resolved Miss"))</x:f>
      </x:c>
      <x:c r="H27" t="str">
        <x:f>IF(A27="","",COUNTIFS(Registry!$D$6:$D$205,A27,Registry!$S$6:$S$205,"Resolved Hit"))</x:f>
      </x:c>
      <x:c r="I27" s="56" t="str">
        <x:f>IFERROR(H27/G27,"")</x:f>
      </x:c>
      <x:c r="J27" s="54" t="str">
        <x:f>IFERROR(AVERAGEIF(Registry!$D$6:$D$205,A27,Registry!$W$6:$W$205),"")</x:f>
      </x:c>
      <x:c r="K27" s="54" t="str">
        <x:f>IFERROR(AVERAGEIF(Registry!$D$6:$D$205,A27,Registry!$Y$6:$Y$205),"")</x:f>
      </x:c>
      <x:c r="L27" s="54" t="str">
        <x:f>IFERROR(AVERAGEIF(Registry!$D$6:$D$205,A27,Registry!$Z$6:$Z$205),"")</x:f>
      </x:c>
    </x:row>
    <x:row r="28">
      <x:c r="F28" t="str">
        <x:f>IF(A28="","",COUNTIF(Registry!$D$6:$D$205,A28))</x:f>
      </x:c>
      <x:c r="G28" t="str">
        <x:f>IF(A28="","",COUNTIFS(Registry!$D$6:$D$205,A28,Registry!$S$6:$S$205,"Resolved Hit")+COUNTIFS(Registry!$D$6:$D$205,A28,Registry!$S$6:$S$205,"Resolved Miss"))</x:f>
      </x:c>
      <x:c r="H28" t="str">
        <x:f>IF(A28="","",COUNTIFS(Registry!$D$6:$D$205,A28,Registry!$S$6:$S$205,"Resolved Hit"))</x:f>
      </x:c>
      <x:c r="I28" s="56" t="str">
        <x:f>IFERROR(H28/G28,"")</x:f>
      </x:c>
      <x:c r="J28" s="54" t="str">
        <x:f>IFERROR(AVERAGEIF(Registry!$D$6:$D$205,A28,Registry!$W$6:$W$205),"")</x:f>
      </x:c>
      <x:c r="K28" s="54" t="str">
        <x:f>IFERROR(AVERAGEIF(Registry!$D$6:$D$205,A28,Registry!$Y$6:$Y$205),"")</x:f>
      </x:c>
      <x:c r="L28" s="54" t="str">
        <x:f>IFERROR(AVERAGEIF(Registry!$D$6:$D$205,A28,Registry!$Z$6:$Z$205),"")</x:f>
      </x:c>
    </x:row>
    <x:row r="29">
      <x:c r="F29" t="str">
        <x:f>IF(A29="","",COUNTIF(Registry!$D$6:$D$205,A29))</x:f>
      </x:c>
      <x:c r="G29" t="str">
        <x:f>IF(A29="","",COUNTIFS(Registry!$D$6:$D$205,A29,Registry!$S$6:$S$205,"Resolved Hit")+COUNTIFS(Registry!$D$6:$D$205,A29,Registry!$S$6:$S$205,"Resolved Miss"))</x:f>
      </x:c>
      <x:c r="H29" t="str">
        <x:f>IF(A29="","",COUNTIFS(Registry!$D$6:$D$205,A29,Registry!$S$6:$S$205,"Resolved Hit"))</x:f>
      </x:c>
      <x:c r="I29" s="56" t="str">
        <x:f>IFERROR(H29/G29,"")</x:f>
      </x:c>
      <x:c r="J29" s="54" t="str">
        <x:f>IFERROR(AVERAGEIF(Registry!$D$6:$D$205,A29,Registry!$W$6:$W$205),"")</x:f>
      </x:c>
      <x:c r="K29" s="54" t="str">
        <x:f>IFERROR(AVERAGEIF(Registry!$D$6:$D$205,A29,Registry!$Y$6:$Y$205),"")</x:f>
      </x:c>
      <x:c r="L29" s="54" t="str">
        <x:f>IFERROR(AVERAGEIF(Registry!$D$6:$D$205,A29,Registry!$Z$6:$Z$205),"")</x:f>
      </x:c>
    </x:row>
    <x:row r="30">
      <x:c r="F30" t="str">
        <x:f>IF(A30="","",COUNTIF(Registry!$D$6:$D$205,A30))</x:f>
      </x:c>
      <x:c r="G30" t="str">
        <x:f>IF(A30="","",COUNTIFS(Registry!$D$6:$D$205,A30,Registry!$S$6:$S$205,"Resolved Hit")+COUNTIFS(Registry!$D$6:$D$205,A30,Registry!$S$6:$S$205,"Resolved Miss"))</x:f>
      </x:c>
      <x:c r="H30" t="str">
        <x:f>IF(A30="","",COUNTIFS(Registry!$D$6:$D$205,A30,Registry!$S$6:$S$205,"Resolved Hit"))</x:f>
      </x:c>
      <x:c r="I30" s="56" t="str">
        <x:f>IFERROR(H30/G30,"")</x:f>
      </x:c>
      <x:c r="J30" s="54" t="str">
        <x:f>IFERROR(AVERAGEIF(Registry!$D$6:$D$205,A30,Registry!$W$6:$W$205),"")</x:f>
      </x:c>
      <x:c r="K30" s="54" t="str">
        <x:f>IFERROR(AVERAGEIF(Registry!$D$6:$D$205,A30,Registry!$Y$6:$Y$205),"")</x:f>
      </x:c>
      <x:c r="L30" s="54" t="str">
        <x:f>IFERROR(AVERAGEIF(Registry!$D$6:$D$205,A30,Registry!$Z$6:$Z$205),"")</x:f>
      </x:c>
    </x:row>
    <x:row r="31">
      <x:c r="F31" t="str">
        <x:f>IF(A31="","",COUNTIF(Registry!$D$6:$D$205,A31))</x:f>
      </x:c>
      <x:c r="G31" t="str">
        <x:f>IF(A31="","",COUNTIFS(Registry!$D$6:$D$205,A31,Registry!$S$6:$S$205,"Resolved Hit")+COUNTIFS(Registry!$D$6:$D$205,A31,Registry!$S$6:$S$205,"Resolved Miss"))</x:f>
      </x:c>
      <x:c r="H31" t="str">
        <x:f>IF(A31="","",COUNTIFS(Registry!$D$6:$D$205,A31,Registry!$S$6:$S$205,"Resolved Hit"))</x:f>
      </x:c>
      <x:c r="I31" s="56" t="str">
        <x:f>IFERROR(H31/G31,"")</x:f>
      </x:c>
      <x:c r="J31" s="54" t="str">
        <x:f>IFERROR(AVERAGEIF(Registry!$D$6:$D$205,A31,Registry!$W$6:$W$205),"")</x:f>
      </x:c>
      <x:c r="K31" s="54" t="str">
        <x:f>IFERROR(AVERAGEIF(Registry!$D$6:$D$205,A31,Registry!$Y$6:$Y$205),"")</x:f>
      </x:c>
      <x:c r="L31" s="54" t="str">
        <x:f>IFERROR(AVERAGEIF(Registry!$D$6:$D$205,A31,Registry!$Z$6:$Z$205),"")</x:f>
      </x:c>
    </x:row>
    <x:row r="32">
      <x:c r="F32" t="str">
        <x:f>IF(A32="","",COUNTIF(Registry!$D$6:$D$205,A32))</x:f>
      </x:c>
      <x:c r="G32" t="str">
        <x:f>IF(A32="","",COUNTIFS(Registry!$D$6:$D$205,A32,Registry!$S$6:$S$205,"Resolved Hit")+COUNTIFS(Registry!$D$6:$D$205,A32,Registry!$S$6:$S$205,"Resolved Miss"))</x:f>
      </x:c>
      <x:c r="H32" t="str">
        <x:f>IF(A32="","",COUNTIFS(Registry!$D$6:$D$205,A32,Registry!$S$6:$S$205,"Resolved Hit"))</x:f>
      </x:c>
      <x:c r="I32" s="56" t="str">
        <x:f>IFERROR(H32/G32,"")</x:f>
      </x:c>
      <x:c r="J32" s="54" t="str">
        <x:f>IFERROR(AVERAGEIF(Registry!$D$6:$D$205,A32,Registry!$W$6:$W$205),"")</x:f>
      </x:c>
      <x:c r="K32" s="54" t="str">
        <x:f>IFERROR(AVERAGEIF(Registry!$D$6:$D$205,A32,Registry!$Y$6:$Y$205),"")</x:f>
      </x:c>
      <x:c r="L32" s="54" t="str">
        <x:f>IFERROR(AVERAGEIF(Registry!$D$6:$D$205,A32,Registry!$Z$6:$Z$205),"")</x:f>
      </x:c>
    </x:row>
    <x:row r="33">
      <x:c r="F33" t="str">
        <x:f>IF(A33="","",COUNTIF(Registry!$D$6:$D$205,A33))</x:f>
      </x:c>
      <x:c r="G33" t="str">
        <x:f>IF(A33="","",COUNTIFS(Registry!$D$6:$D$205,A33,Registry!$S$6:$S$205,"Resolved Hit")+COUNTIFS(Registry!$D$6:$D$205,A33,Registry!$S$6:$S$205,"Resolved Miss"))</x:f>
      </x:c>
      <x:c r="H33" t="str">
        <x:f>IF(A33="","",COUNTIFS(Registry!$D$6:$D$205,A33,Registry!$S$6:$S$205,"Resolved Hit"))</x:f>
      </x:c>
      <x:c r="I33" s="56" t="str">
        <x:f>IFERROR(H33/G33,"")</x:f>
      </x:c>
      <x:c r="J33" s="54" t="str">
        <x:f>IFERROR(AVERAGEIF(Registry!$D$6:$D$205,A33,Registry!$W$6:$W$205),"")</x:f>
      </x:c>
      <x:c r="K33" s="54" t="str">
        <x:f>IFERROR(AVERAGEIF(Registry!$D$6:$D$205,A33,Registry!$Y$6:$Y$205),"")</x:f>
      </x:c>
      <x:c r="L33" s="54" t="str">
        <x:f>IFERROR(AVERAGEIF(Registry!$D$6:$D$205,A33,Registry!$Z$6:$Z$205),"")</x:f>
      </x:c>
    </x:row>
    <x:row r="34">
      <x:c r="F34" t="str">
        <x:f>IF(A34="","",COUNTIF(Registry!$D$6:$D$205,A34))</x:f>
      </x:c>
      <x:c r="G34" t="str">
        <x:f>IF(A34="","",COUNTIFS(Registry!$D$6:$D$205,A34,Registry!$S$6:$S$205,"Resolved Hit")+COUNTIFS(Registry!$D$6:$D$205,A34,Registry!$S$6:$S$205,"Resolved Miss"))</x:f>
      </x:c>
      <x:c r="H34" t="str">
        <x:f>IF(A34="","",COUNTIFS(Registry!$D$6:$D$205,A34,Registry!$S$6:$S$205,"Resolved Hit"))</x:f>
      </x:c>
      <x:c r="I34" s="56" t="str">
        <x:f>IFERROR(H34/G34,"")</x:f>
      </x:c>
      <x:c r="J34" s="54" t="str">
        <x:f>IFERROR(AVERAGEIF(Registry!$D$6:$D$205,A34,Registry!$W$6:$W$205),"")</x:f>
      </x:c>
      <x:c r="K34" s="54" t="str">
        <x:f>IFERROR(AVERAGEIF(Registry!$D$6:$D$205,A34,Registry!$Y$6:$Y$205),"")</x:f>
      </x:c>
      <x:c r="L34" s="54" t="str">
        <x:f>IFERROR(AVERAGEIF(Registry!$D$6:$D$205,A34,Registry!$Z$6:$Z$205),"")</x:f>
      </x:c>
    </x:row>
    <x:row r="35">
      <x:c r="F35" t="str">
        <x:f>IF(A35="","",COUNTIF(Registry!$D$6:$D$205,A35))</x:f>
      </x:c>
      <x:c r="G35" t="str">
        <x:f>IF(A35="","",COUNTIFS(Registry!$D$6:$D$205,A35,Registry!$S$6:$S$205,"Resolved Hit")+COUNTIFS(Registry!$D$6:$D$205,A35,Registry!$S$6:$S$205,"Resolved Miss"))</x:f>
      </x:c>
      <x:c r="H35" t="str">
        <x:f>IF(A35="","",COUNTIFS(Registry!$D$6:$D$205,A35,Registry!$S$6:$S$205,"Resolved Hit"))</x:f>
      </x:c>
      <x:c r="I35" s="56" t="str">
        <x:f>IFERROR(H35/G35,"")</x:f>
      </x:c>
      <x:c r="J35" s="54" t="str">
        <x:f>IFERROR(AVERAGEIF(Registry!$D$6:$D$205,A35,Registry!$W$6:$W$205),"")</x:f>
      </x:c>
      <x:c r="K35" s="54" t="str">
        <x:f>IFERROR(AVERAGEIF(Registry!$D$6:$D$205,A35,Registry!$Y$6:$Y$205),"")</x:f>
      </x:c>
      <x:c r="L35" s="54" t="str">
        <x:f>IFERROR(AVERAGEIF(Registry!$D$6:$D$205,A35,Registry!$Z$6:$Z$205),"")</x:f>
      </x:c>
    </x:row>
    <x:row r="36">
      <x:c r="F36" t="str">
        <x:f>IF(A36="","",COUNTIF(Registry!$D$6:$D$205,A36))</x:f>
      </x:c>
      <x:c r="G36" t="str">
        <x:f>IF(A36="","",COUNTIFS(Registry!$D$6:$D$205,A36,Registry!$S$6:$S$205,"Resolved Hit")+COUNTIFS(Registry!$D$6:$D$205,A36,Registry!$S$6:$S$205,"Resolved Miss"))</x:f>
      </x:c>
      <x:c r="H36" t="str">
        <x:f>IF(A36="","",COUNTIFS(Registry!$D$6:$D$205,A36,Registry!$S$6:$S$205,"Resolved Hit"))</x:f>
      </x:c>
      <x:c r="I36" s="56" t="str">
        <x:f>IFERROR(H36/G36,"")</x:f>
      </x:c>
      <x:c r="J36" s="54" t="str">
        <x:f>IFERROR(AVERAGEIF(Registry!$D$6:$D$205,A36,Registry!$W$6:$W$205),"")</x:f>
      </x:c>
      <x:c r="K36" s="54" t="str">
        <x:f>IFERROR(AVERAGEIF(Registry!$D$6:$D$205,A36,Registry!$Y$6:$Y$205),"")</x:f>
      </x:c>
      <x:c r="L36" s="54" t="str">
        <x:f>IFERROR(AVERAGEIF(Registry!$D$6:$D$205,A36,Registry!$Z$6:$Z$205),"")</x:f>
      </x:c>
    </x:row>
    <x:row r="37">
      <x:c r="F37" t="str">
        <x:f>IF(A37="","",COUNTIF(Registry!$D$6:$D$205,A37))</x:f>
      </x:c>
      <x:c r="G37" t="str">
        <x:f>IF(A37="","",COUNTIFS(Registry!$D$6:$D$205,A37,Registry!$S$6:$S$205,"Resolved Hit")+COUNTIFS(Registry!$D$6:$D$205,A37,Registry!$S$6:$S$205,"Resolved Miss"))</x:f>
      </x:c>
      <x:c r="H37" t="str">
        <x:f>IF(A37="","",COUNTIFS(Registry!$D$6:$D$205,A37,Registry!$S$6:$S$205,"Resolved Hit"))</x:f>
      </x:c>
      <x:c r="I37" s="56" t="str">
        <x:f>IFERROR(H37/G37,"")</x:f>
      </x:c>
      <x:c r="J37" s="54" t="str">
        <x:f>IFERROR(AVERAGEIF(Registry!$D$6:$D$205,A37,Registry!$W$6:$W$205),"")</x:f>
      </x:c>
      <x:c r="K37" s="54" t="str">
        <x:f>IFERROR(AVERAGEIF(Registry!$D$6:$D$205,A37,Registry!$Y$6:$Y$205),"")</x:f>
      </x:c>
      <x:c r="L37" s="54" t="str">
        <x:f>IFERROR(AVERAGEIF(Registry!$D$6:$D$205,A37,Registry!$Z$6:$Z$205),"")</x:f>
      </x:c>
    </x:row>
    <x:row r="38">
      <x:c r="F38" t="str">
        <x:f>IF(A38="","",COUNTIF(Registry!$D$6:$D$205,A38))</x:f>
      </x:c>
      <x:c r="G38" t="str">
        <x:f>IF(A38="","",COUNTIFS(Registry!$D$6:$D$205,A38,Registry!$S$6:$S$205,"Resolved Hit")+COUNTIFS(Registry!$D$6:$D$205,A38,Registry!$S$6:$S$205,"Resolved Miss"))</x:f>
      </x:c>
      <x:c r="H38" t="str">
        <x:f>IF(A38="","",COUNTIFS(Registry!$D$6:$D$205,A38,Registry!$S$6:$S$205,"Resolved Hit"))</x:f>
      </x:c>
      <x:c r="I38" s="56" t="str">
        <x:f>IFERROR(H38/G38,"")</x:f>
      </x:c>
      <x:c r="J38" s="54" t="str">
        <x:f>IFERROR(AVERAGEIF(Registry!$D$6:$D$205,A38,Registry!$W$6:$W$205),"")</x:f>
      </x:c>
      <x:c r="K38" s="54" t="str">
        <x:f>IFERROR(AVERAGEIF(Registry!$D$6:$D$205,A38,Registry!$Y$6:$Y$205),"")</x:f>
      </x:c>
      <x:c r="L38" s="54" t="str">
        <x:f>IFERROR(AVERAGEIF(Registry!$D$6:$D$205,A38,Registry!$Z$6:$Z$205),"")</x:f>
      </x:c>
    </x:row>
    <x:row r="39">
      <x:c r="F39" t="str">
        <x:f>IF(A39="","",COUNTIF(Registry!$D$6:$D$205,A39))</x:f>
      </x:c>
      <x:c r="G39" t="str">
        <x:f>IF(A39="","",COUNTIFS(Registry!$D$6:$D$205,A39,Registry!$S$6:$S$205,"Resolved Hit")+COUNTIFS(Registry!$D$6:$D$205,A39,Registry!$S$6:$S$205,"Resolved Miss"))</x:f>
      </x:c>
      <x:c r="H39" t="str">
        <x:f>IF(A39="","",COUNTIFS(Registry!$D$6:$D$205,A39,Registry!$S$6:$S$205,"Resolved Hit"))</x:f>
      </x:c>
      <x:c r="I39" s="56" t="str">
        <x:f>IFERROR(H39/G39,"")</x:f>
      </x:c>
      <x:c r="J39" s="54" t="str">
        <x:f>IFERROR(AVERAGEIF(Registry!$D$6:$D$205,A39,Registry!$W$6:$W$205),"")</x:f>
      </x:c>
      <x:c r="K39" s="54" t="str">
        <x:f>IFERROR(AVERAGEIF(Registry!$D$6:$D$205,A39,Registry!$Y$6:$Y$205),"")</x:f>
      </x:c>
      <x:c r="L39" s="54" t="str">
        <x:f>IFERROR(AVERAGEIF(Registry!$D$6:$D$205,A39,Registry!$Z$6:$Z$205),"")</x:f>
      </x:c>
    </x:row>
    <x:row r="40">
      <x:c r="F40" t="str">
        <x:f>IF(A40="","",COUNTIF(Registry!$D$6:$D$205,A40))</x:f>
      </x:c>
      <x:c r="G40" t="str">
        <x:f>IF(A40="","",COUNTIFS(Registry!$D$6:$D$205,A40,Registry!$S$6:$S$205,"Resolved Hit")+COUNTIFS(Registry!$D$6:$D$205,A40,Registry!$S$6:$S$205,"Resolved Miss"))</x:f>
      </x:c>
      <x:c r="H40" t="str">
        <x:f>IF(A40="","",COUNTIFS(Registry!$D$6:$D$205,A40,Registry!$S$6:$S$205,"Resolved Hit"))</x:f>
      </x:c>
      <x:c r="I40" s="56" t="str">
        <x:f>IFERROR(H40/G40,"")</x:f>
      </x:c>
      <x:c r="J40" s="54" t="str">
        <x:f>IFERROR(AVERAGEIF(Registry!$D$6:$D$205,A40,Registry!$W$6:$W$205),"")</x:f>
      </x:c>
      <x:c r="K40" s="54" t="str">
        <x:f>IFERROR(AVERAGEIF(Registry!$D$6:$D$205,A40,Registry!$Y$6:$Y$205),"")</x:f>
      </x:c>
      <x:c r="L40" s="54" t="str">
        <x:f>IFERROR(AVERAGEIF(Registry!$D$6:$D$205,A40,Registry!$Z$6:$Z$205),"")</x:f>
      </x:c>
    </x:row>
    <x:row r="41">
      <x:c r="F41" t="str">
        <x:f>IF(A41="","",COUNTIF(Registry!$D$6:$D$205,A41))</x:f>
      </x:c>
      <x:c r="G41" t="str">
        <x:f>IF(A41="","",COUNTIFS(Registry!$D$6:$D$205,A41,Registry!$S$6:$S$205,"Resolved Hit")+COUNTIFS(Registry!$D$6:$D$205,A41,Registry!$S$6:$S$205,"Resolved Miss"))</x:f>
      </x:c>
      <x:c r="H41" t="str">
        <x:f>IF(A41="","",COUNTIFS(Registry!$D$6:$D$205,A41,Registry!$S$6:$S$205,"Resolved Hit"))</x:f>
      </x:c>
      <x:c r="I41" s="56" t="str">
        <x:f>IFERROR(H41/G41,"")</x:f>
      </x:c>
      <x:c r="J41" s="54" t="str">
        <x:f>IFERROR(AVERAGEIF(Registry!$D$6:$D$205,A41,Registry!$W$6:$W$205),"")</x:f>
      </x:c>
      <x:c r="K41" s="54" t="str">
        <x:f>IFERROR(AVERAGEIF(Registry!$D$6:$D$205,A41,Registry!$Y$6:$Y$205),"")</x:f>
      </x:c>
      <x:c r="L41" s="54" t="str">
        <x:f>IFERROR(AVERAGEIF(Registry!$D$6:$D$205,A41,Registry!$Z$6:$Z$205),"")</x:f>
      </x:c>
    </x:row>
    <x:row r="42">
      <x:c r="F42" t="str">
        <x:f>IF(A42="","",COUNTIF(Registry!$D$6:$D$205,A42))</x:f>
      </x:c>
      <x:c r="G42" t="str">
        <x:f>IF(A42="","",COUNTIFS(Registry!$D$6:$D$205,A42,Registry!$S$6:$S$205,"Resolved Hit")+COUNTIFS(Registry!$D$6:$D$205,A42,Registry!$S$6:$S$205,"Resolved Miss"))</x:f>
      </x:c>
      <x:c r="H42" t="str">
        <x:f>IF(A42="","",COUNTIFS(Registry!$D$6:$D$205,A42,Registry!$S$6:$S$205,"Resolved Hit"))</x:f>
      </x:c>
      <x:c r="I42" s="56" t="str">
        <x:f>IFERROR(H42/G42,"")</x:f>
      </x:c>
      <x:c r="J42" s="54" t="str">
        <x:f>IFERROR(AVERAGEIF(Registry!$D$6:$D$205,A42,Registry!$W$6:$W$205),"")</x:f>
      </x:c>
      <x:c r="K42" s="54" t="str">
        <x:f>IFERROR(AVERAGEIF(Registry!$D$6:$D$205,A42,Registry!$Y$6:$Y$205),"")</x:f>
      </x:c>
      <x:c r="L42" s="54" t="str">
        <x:f>IFERROR(AVERAGEIF(Registry!$D$6:$D$205,A42,Registry!$Z$6:$Z$205),"")</x:f>
      </x:c>
    </x:row>
    <x:row r="43">
      <x:c r="F43" t="str">
        <x:f>IF(A43="","",COUNTIF(Registry!$D$6:$D$205,A43))</x:f>
      </x:c>
      <x:c r="G43" t="str">
        <x:f>IF(A43="","",COUNTIFS(Registry!$D$6:$D$205,A43,Registry!$S$6:$S$205,"Resolved Hit")+COUNTIFS(Registry!$D$6:$D$205,A43,Registry!$S$6:$S$205,"Resolved Miss"))</x:f>
      </x:c>
      <x:c r="H43" t="str">
        <x:f>IF(A43="","",COUNTIFS(Registry!$D$6:$D$205,A43,Registry!$S$6:$S$205,"Resolved Hit"))</x:f>
      </x:c>
      <x:c r="I43" s="56" t="str">
        <x:f>IFERROR(H43/G43,"")</x:f>
      </x:c>
      <x:c r="J43" s="54" t="str">
        <x:f>IFERROR(AVERAGEIF(Registry!$D$6:$D$205,A43,Registry!$W$6:$W$205),"")</x:f>
      </x:c>
      <x:c r="K43" s="54" t="str">
        <x:f>IFERROR(AVERAGEIF(Registry!$D$6:$D$205,A43,Registry!$Y$6:$Y$205),"")</x:f>
      </x:c>
      <x:c r="L43" s="54" t="str">
        <x:f>IFERROR(AVERAGEIF(Registry!$D$6:$D$205,A43,Registry!$Z$6:$Z$205),"")</x:f>
      </x:c>
    </x:row>
    <x:row r="44">
      <x:c r="F44" t="str">
        <x:f>IF(A44="","",COUNTIF(Registry!$D$6:$D$205,A44))</x:f>
      </x:c>
      <x:c r="G44" t="str">
        <x:f>IF(A44="","",COUNTIFS(Registry!$D$6:$D$205,A44,Registry!$S$6:$S$205,"Resolved Hit")+COUNTIFS(Registry!$D$6:$D$205,A44,Registry!$S$6:$S$205,"Resolved Miss"))</x:f>
      </x:c>
      <x:c r="H44" t="str">
        <x:f>IF(A44="","",COUNTIFS(Registry!$D$6:$D$205,A44,Registry!$S$6:$S$205,"Resolved Hit"))</x:f>
      </x:c>
      <x:c r="I44" s="56" t="str">
        <x:f>IFERROR(H44/G44,"")</x:f>
      </x:c>
      <x:c r="J44" s="54" t="str">
        <x:f>IFERROR(AVERAGEIF(Registry!$D$6:$D$205,A44,Registry!$W$6:$W$205),"")</x:f>
      </x:c>
      <x:c r="K44" s="54" t="str">
        <x:f>IFERROR(AVERAGEIF(Registry!$D$6:$D$205,A44,Registry!$Y$6:$Y$205),"")</x:f>
      </x:c>
      <x:c r="L44" s="54" t="str">
        <x:f>IFERROR(AVERAGEIF(Registry!$D$6:$D$205,A44,Registry!$Z$6:$Z$205),"")</x:f>
      </x:c>
    </x:row>
    <x:row r="45">
      <x:c r="F45" t="str">
        <x:f>IF(A45="","",COUNTIF(Registry!$D$6:$D$205,A45))</x:f>
      </x:c>
      <x:c r="G45" t="str">
        <x:f>IF(A45="","",COUNTIFS(Registry!$D$6:$D$205,A45,Registry!$S$6:$S$205,"Resolved Hit")+COUNTIFS(Registry!$D$6:$D$205,A45,Registry!$S$6:$S$205,"Resolved Miss"))</x:f>
      </x:c>
      <x:c r="H45" t="str">
        <x:f>IF(A45="","",COUNTIFS(Registry!$D$6:$D$205,A45,Registry!$S$6:$S$205,"Resolved Hit"))</x:f>
      </x:c>
      <x:c r="I45" s="56" t="str">
        <x:f>IFERROR(H45/G45,"")</x:f>
      </x:c>
      <x:c r="J45" s="54" t="str">
        <x:f>IFERROR(AVERAGEIF(Registry!$D$6:$D$205,A45,Registry!$W$6:$W$205),"")</x:f>
      </x:c>
      <x:c r="K45" s="54" t="str">
        <x:f>IFERROR(AVERAGEIF(Registry!$D$6:$D$205,A45,Registry!$Y$6:$Y$205),"")</x:f>
      </x:c>
      <x:c r="L45" s="54" t="str">
        <x:f>IFERROR(AVERAGEIF(Registry!$D$6:$D$205,A45,Registry!$Z$6:$Z$205),"")</x:f>
      </x:c>
    </x:row>
    <x:row r="46">
      <x:c r="F46" t="str">
        <x:f>IF(A46="","",COUNTIF(Registry!$D$6:$D$205,A46))</x:f>
      </x:c>
      <x:c r="G46" t="str">
        <x:f>IF(A46="","",COUNTIFS(Registry!$D$6:$D$205,A46,Registry!$S$6:$S$205,"Resolved Hit")+COUNTIFS(Registry!$D$6:$D$205,A46,Registry!$S$6:$S$205,"Resolved Miss"))</x:f>
      </x:c>
      <x:c r="H46" t="str">
        <x:f>IF(A46="","",COUNTIFS(Registry!$D$6:$D$205,A46,Registry!$S$6:$S$205,"Resolved Hit"))</x:f>
      </x:c>
      <x:c r="I46" s="56" t="str">
        <x:f>IFERROR(H46/G46,"")</x:f>
      </x:c>
      <x:c r="J46" s="54" t="str">
        <x:f>IFERROR(AVERAGEIF(Registry!$D$6:$D$205,A46,Registry!$W$6:$W$205),"")</x:f>
      </x:c>
      <x:c r="K46" s="54" t="str">
        <x:f>IFERROR(AVERAGEIF(Registry!$D$6:$D$205,A46,Registry!$Y$6:$Y$205),"")</x:f>
      </x:c>
      <x:c r="L46" s="54" t="str">
        <x:f>IFERROR(AVERAGEIF(Registry!$D$6:$D$205,A46,Registry!$Z$6:$Z$205),"")</x:f>
      </x:c>
    </x:row>
    <x:row r="47">
      <x:c r="F47" t="str">
        <x:f>IF(A47="","",COUNTIF(Registry!$D$6:$D$205,A47))</x:f>
      </x:c>
      <x:c r="G47" t="str">
        <x:f>IF(A47="","",COUNTIFS(Registry!$D$6:$D$205,A47,Registry!$S$6:$S$205,"Resolved Hit")+COUNTIFS(Registry!$D$6:$D$205,A47,Registry!$S$6:$S$205,"Resolved Miss"))</x:f>
      </x:c>
      <x:c r="H47" t="str">
        <x:f>IF(A47="","",COUNTIFS(Registry!$D$6:$D$205,A47,Registry!$S$6:$S$205,"Resolved Hit"))</x:f>
      </x:c>
      <x:c r="I47" s="56" t="str">
        <x:f>IFERROR(H47/G47,"")</x:f>
      </x:c>
      <x:c r="J47" s="54" t="str">
        <x:f>IFERROR(AVERAGEIF(Registry!$D$6:$D$205,A47,Registry!$W$6:$W$205),"")</x:f>
      </x:c>
      <x:c r="K47" s="54" t="str">
        <x:f>IFERROR(AVERAGEIF(Registry!$D$6:$D$205,A47,Registry!$Y$6:$Y$205),"")</x:f>
      </x:c>
      <x:c r="L47" s="54" t="str">
        <x:f>IFERROR(AVERAGEIF(Registry!$D$6:$D$205,A47,Registry!$Z$6:$Z$205),"")</x:f>
      </x:c>
    </x:row>
    <x:row r="48">
      <x:c r="F48" t="str">
        <x:f>IF(A48="","",COUNTIF(Registry!$D$6:$D$205,A48))</x:f>
      </x:c>
      <x:c r="G48" t="str">
        <x:f>IF(A48="","",COUNTIFS(Registry!$D$6:$D$205,A48,Registry!$S$6:$S$205,"Resolved Hit")+COUNTIFS(Registry!$D$6:$D$205,A48,Registry!$S$6:$S$205,"Resolved Miss"))</x:f>
      </x:c>
      <x:c r="H48" t="str">
        <x:f>IF(A48="","",COUNTIFS(Registry!$D$6:$D$205,A48,Registry!$S$6:$S$205,"Resolved Hit"))</x:f>
      </x:c>
      <x:c r="I48" s="56" t="str">
        <x:f>IFERROR(H48/G48,"")</x:f>
      </x:c>
      <x:c r="J48" s="54" t="str">
        <x:f>IFERROR(AVERAGEIF(Registry!$D$6:$D$205,A48,Registry!$W$6:$W$205),"")</x:f>
      </x:c>
      <x:c r="K48" s="54" t="str">
        <x:f>IFERROR(AVERAGEIF(Registry!$D$6:$D$205,A48,Registry!$Y$6:$Y$205),"")</x:f>
      </x:c>
      <x:c r="L48" s="54" t="str">
        <x:f>IFERROR(AVERAGEIF(Registry!$D$6:$D$205,A48,Registry!$Z$6:$Z$205),"")</x:f>
      </x:c>
    </x:row>
    <x:row r="49">
      <x:c r="F49" t="str">
        <x:f>IF(A49="","",COUNTIF(Registry!$D$6:$D$205,A49))</x:f>
      </x:c>
      <x:c r="G49" t="str">
        <x:f>IF(A49="","",COUNTIFS(Registry!$D$6:$D$205,A49,Registry!$S$6:$S$205,"Resolved Hit")+COUNTIFS(Registry!$D$6:$D$205,A49,Registry!$S$6:$S$205,"Resolved Miss"))</x:f>
      </x:c>
      <x:c r="H49" t="str">
        <x:f>IF(A49="","",COUNTIFS(Registry!$D$6:$D$205,A49,Registry!$S$6:$S$205,"Resolved Hit"))</x:f>
      </x:c>
      <x:c r="I49" s="56" t="str">
        <x:f>IFERROR(H49/G49,"")</x:f>
      </x:c>
      <x:c r="J49" s="54" t="str">
        <x:f>IFERROR(AVERAGEIF(Registry!$D$6:$D$205,A49,Registry!$W$6:$W$205),"")</x:f>
      </x:c>
      <x:c r="K49" s="54" t="str">
        <x:f>IFERROR(AVERAGEIF(Registry!$D$6:$D$205,A49,Registry!$Y$6:$Y$205),"")</x:f>
      </x:c>
      <x:c r="L49" s="54" t="str">
        <x:f>IFERROR(AVERAGEIF(Registry!$D$6:$D$205,A49,Registry!$Z$6:$Z$205),"")</x:f>
      </x:c>
    </x:row>
    <x:row r="50">
      <x:c r="F50" t="str">
        <x:f>IF(A50="","",COUNTIF(Registry!$D$6:$D$205,A50))</x:f>
      </x:c>
      <x:c r="G50" t="str">
        <x:f>IF(A50="","",COUNTIFS(Registry!$D$6:$D$205,A50,Registry!$S$6:$S$205,"Resolved Hit")+COUNTIFS(Registry!$D$6:$D$205,A50,Registry!$S$6:$S$205,"Resolved Miss"))</x:f>
      </x:c>
      <x:c r="H50" t="str">
        <x:f>IF(A50="","",COUNTIFS(Registry!$D$6:$D$205,A50,Registry!$S$6:$S$205,"Resolved Hit"))</x:f>
      </x:c>
      <x:c r="I50" s="56" t="str">
        <x:f>IFERROR(H50/G50,"")</x:f>
      </x:c>
      <x:c r="J50" s="54" t="str">
        <x:f>IFERROR(AVERAGEIF(Registry!$D$6:$D$205,A50,Registry!$W$6:$W$205),"")</x:f>
      </x:c>
      <x:c r="K50" s="54" t="str">
        <x:f>IFERROR(AVERAGEIF(Registry!$D$6:$D$205,A50,Registry!$Y$6:$Y$205),"")</x:f>
      </x:c>
      <x:c r="L50" s="54" t="str">
        <x:f>IFERROR(AVERAGEIF(Registry!$D$6:$D$205,A50,Registry!$Z$6:$Z$205),"")</x:f>
      </x:c>
    </x:row>
    <x:row r="51">
      <x:c r="F51" t="str">
        <x:f>IF(A51="","",COUNTIF(Registry!$D$6:$D$205,A51))</x:f>
      </x:c>
      <x:c r="G51" t="str">
        <x:f>IF(A51="","",COUNTIFS(Registry!$D$6:$D$205,A51,Registry!$S$6:$S$205,"Resolved Hit")+COUNTIFS(Registry!$D$6:$D$205,A51,Registry!$S$6:$S$205,"Resolved Miss"))</x:f>
      </x:c>
      <x:c r="H51" t="str">
        <x:f>IF(A51="","",COUNTIFS(Registry!$D$6:$D$205,A51,Registry!$S$6:$S$205,"Resolved Hit"))</x:f>
      </x:c>
      <x:c r="I51" s="56" t="str">
        <x:f>IFERROR(H51/G51,"")</x:f>
      </x:c>
      <x:c r="J51" s="54" t="str">
        <x:f>IFERROR(AVERAGEIF(Registry!$D$6:$D$205,A51,Registry!$W$6:$W$205),"")</x:f>
      </x:c>
      <x:c r="K51" s="54" t="str">
        <x:f>IFERROR(AVERAGEIF(Registry!$D$6:$D$205,A51,Registry!$Y$6:$Y$205),"")</x:f>
      </x:c>
      <x:c r="L51" s="54" t="str">
        <x:f>IFERROR(AVERAGEIF(Registry!$D$6:$D$205,A51,Registry!$Z$6:$Z$205),"")</x:f>
      </x:c>
    </x:row>
    <x:row r="52">
      <x:c r="F52" t="str">
        <x:f>IF(A52="","",COUNTIF(Registry!$D$6:$D$205,A52))</x:f>
      </x:c>
      <x:c r="G52" t="str">
        <x:f>IF(A52="","",COUNTIFS(Registry!$D$6:$D$205,A52,Registry!$S$6:$S$205,"Resolved Hit")+COUNTIFS(Registry!$D$6:$D$205,A52,Registry!$S$6:$S$205,"Resolved Miss"))</x:f>
      </x:c>
      <x:c r="H52" t="str">
        <x:f>IF(A52="","",COUNTIFS(Registry!$D$6:$D$205,A52,Registry!$S$6:$S$205,"Resolved Hit"))</x:f>
      </x:c>
      <x:c r="I52" s="56" t="str">
        <x:f>IFERROR(H52/G52,"")</x:f>
      </x:c>
      <x:c r="J52" s="54" t="str">
        <x:f>IFERROR(AVERAGEIF(Registry!$D$6:$D$205,A52,Registry!$W$6:$W$205),"")</x:f>
      </x:c>
      <x:c r="K52" s="54" t="str">
        <x:f>IFERROR(AVERAGEIF(Registry!$D$6:$D$205,A52,Registry!$Y$6:$Y$205),"")</x:f>
      </x:c>
      <x:c r="L52" s="54" t="str">
        <x:f>IFERROR(AVERAGEIF(Registry!$D$6:$D$205,A52,Registry!$Z$6:$Z$205),"")</x:f>
      </x:c>
    </x:row>
    <x:row r="53">
      <x:c r="F53" t="str">
        <x:f>IF(A53="","",COUNTIF(Registry!$D$6:$D$205,A53))</x:f>
      </x:c>
      <x:c r="G53" t="str">
        <x:f>IF(A53="","",COUNTIFS(Registry!$D$6:$D$205,A53,Registry!$S$6:$S$205,"Resolved Hit")+COUNTIFS(Registry!$D$6:$D$205,A53,Registry!$S$6:$S$205,"Resolved Miss"))</x:f>
      </x:c>
      <x:c r="H53" t="str">
        <x:f>IF(A53="","",COUNTIFS(Registry!$D$6:$D$205,A53,Registry!$S$6:$S$205,"Resolved Hit"))</x:f>
      </x:c>
      <x:c r="I53" s="56" t="str">
        <x:f>IFERROR(H53/G53,"")</x:f>
      </x:c>
      <x:c r="J53" s="54" t="str">
        <x:f>IFERROR(AVERAGEIF(Registry!$D$6:$D$205,A53,Registry!$W$6:$W$205),"")</x:f>
      </x:c>
      <x:c r="K53" s="54" t="str">
        <x:f>IFERROR(AVERAGEIF(Registry!$D$6:$D$205,A53,Registry!$Y$6:$Y$205),"")</x:f>
      </x:c>
      <x:c r="L53" s="54" t="str">
        <x:f>IFERROR(AVERAGEIF(Registry!$D$6:$D$205,A53,Registry!$Z$6:$Z$205),"")</x:f>
      </x:c>
    </x:row>
  </x:sheetData>
  <x:mergeCells>
    <x:mergeCell ref="A1:L1"/>
  </x:mergeCells>
  <x:dataValidations count="1">
    <x:dataValidation type="list" sqref="D4:D53">
      <x:formula1>Lookups!$F$2:$F$3</x:formula1>
    </x:dataValidation>
  </x:dataValidations>
  <x:pageMargins left="0.7" right="0.7" top="0.75" bottom="0.75" header="0.3" footer="0.3"/>
  <x:tableParts count="1">
    <x:tablePart xmlns:r="http://schemas.openxmlformats.org/officeDocument/2006/relationships" r:id="R5b8c272d5daf4ad4"/>
  </x:tableParts>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19" hidden="0" customWidth="1"/>
    <x:col min="4" max="4" width="18" hidden="0" customWidth="1"/>
    <x:col min="5" max="5" width="20" hidden="0" customWidth="1"/>
    <x:col min="6" max="6" width="28" hidden="0" customWidth="1"/>
    <x:col min="7" max="7" width="28" hidden="0" customWidth="1"/>
    <x:col min="8" max="8" width="34" hidden="0" customWidth="1"/>
    <x:col min="9" max="9" width="18" hidden="0" customWidth="1"/>
  </x:cols>
  <x:sheetData>
    <x:row r="1">
      <x:c r="A1" s="5" t="str">
        <x:v>HTERP Registry Audit Log</x:v>
      </x:c>
      <x:c r="B1" s="5"/>
      <x:c r="C1" s="5"/>
      <x:c r="D1" s="5"/>
      <x:c r="E1" s="5"/>
      <x:c r="F1" s="5"/>
      <x:c r="G1" s="5"/>
      <x:c r="H1" s="5"/>
      <x:c r="I1" s="5"/>
    </x:row>
    <x:row r="2">
      <x:c r="A2" s="43" t="str">
        <x:v>Every amendment, void, correction, or metadata change to an official registry record should be logged here. Original exact wording should never be silently overwritten.</x:v>
      </x:c>
      <x:c r="B2" s="43"/>
      <x:c r="C2" s="43"/>
      <x:c r="D2" s="43"/>
      <x:c r="E2" s="43"/>
      <x:c r="F2" s="43"/>
      <x:c r="G2" s="43"/>
      <x:c r="H2" s="43"/>
      <x:c r="I2" s="43"/>
    </x:row>
    <x:row r="4">
      <x:c r="A4" s="30" t="str">
        <x:v>Change ID</x:v>
      </x:c>
      <x:c r="B4" s="30" t="str">
        <x:v>Prediction ID</x:v>
      </x:c>
      <x:c r="C4" s="30" t="str">
        <x:v>Change Timestamp</x:v>
      </x:c>
      <x:c r="D4" s="30" t="str">
        <x:v>Change Type</x:v>
      </x:c>
      <x:c r="E4" s="30" t="str">
        <x:v>Field</x:v>
      </x:c>
      <x:c r="F4" s="30" t="str">
        <x:v>Prior Value</x:v>
      </x:c>
      <x:c r="G4" s="30" t="str">
        <x:v>New Value</x:v>
      </x:c>
      <x:c r="H4" s="30" t="str">
        <x:v>Reason</x:v>
      </x:c>
      <x:c r="I4" s="30" t="str">
        <x:v>Authorized By</x:v>
      </x:c>
    </x:row>
    <x:row r="5">
      <x:c r="A5" s="36"/>
      <x:c r="B5" s="36"/>
      <x:c r="C5" s="58"/>
      <x:c r="D5" s="36"/>
      <x:c r="E5" s="36"/>
      <x:c r="F5" s="36"/>
      <x:c r="G5" s="36"/>
      <x:c r="H5" s="36"/>
      <x:c r="I5" s="36"/>
    </x:row>
    <x:row r="6">
      <x:c r="A6" s="36"/>
      <x:c r="B6" s="36"/>
      <x:c r="C6" s="58"/>
      <x:c r="D6" s="36"/>
      <x:c r="E6" s="36"/>
      <x:c r="F6" s="36"/>
      <x:c r="G6" s="36"/>
      <x:c r="H6" s="36"/>
      <x:c r="I6" s="36"/>
    </x:row>
    <x:row r="7">
      <x:c r="A7" s="36"/>
      <x:c r="B7" s="36"/>
      <x:c r="C7" s="58"/>
      <x:c r="D7" s="36"/>
      <x:c r="E7" s="36"/>
      <x:c r="F7" s="36"/>
      <x:c r="G7" s="36"/>
      <x:c r="H7" s="36"/>
      <x:c r="I7" s="36"/>
    </x:row>
    <x:row r="8">
      <x:c r="A8" s="36"/>
      <x:c r="B8" s="36"/>
      <x:c r="C8" s="58"/>
      <x:c r="D8" s="36"/>
      <x:c r="E8" s="36"/>
      <x:c r="F8" s="36"/>
      <x:c r="G8" s="36"/>
      <x:c r="H8" s="36"/>
      <x:c r="I8" s="36"/>
    </x:row>
    <x:row r="9">
      <x:c r="A9" s="36"/>
      <x:c r="B9" s="36"/>
      <x:c r="C9" s="58"/>
      <x:c r="D9" s="36"/>
      <x:c r="E9" s="36"/>
      <x:c r="F9" s="36"/>
      <x:c r="G9" s="36"/>
      <x:c r="H9" s="36"/>
      <x:c r="I9" s="36"/>
    </x:row>
    <x:row r="10">
      <x:c r="A10" s="36"/>
      <x:c r="B10" s="36"/>
      <x:c r="C10" s="58"/>
      <x:c r="D10" s="36"/>
      <x:c r="E10" s="36"/>
      <x:c r="F10" s="36"/>
      <x:c r="G10" s="36"/>
      <x:c r="H10" s="36"/>
      <x:c r="I10" s="36"/>
    </x:row>
    <x:row r="11">
      <x:c r="A11" s="36"/>
      <x:c r="B11" s="36"/>
      <x:c r="C11" s="58"/>
      <x:c r="D11" s="36"/>
      <x:c r="E11" s="36"/>
      <x:c r="F11" s="36"/>
      <x:c r="G11" s="36"/>
      <x:c r="H11" s="36"/>
      <x:c r="I11" s="36"/>
    </x:row>
    <x:row r="12">
      <x:c r="A12" s="36"/>
      <x:c r="B12" s="36"/>
      <x:c r="C12" s="58"/>
      <x:c r="D12" s="36"/>
      <x:c r="E12" s="36"/>
      <x:c r="F12" s="36"/>
      <x:c r="G12" s="36"/>
      <x:c r="H12" s="36"/>
      <x:c r="I12" s="36"/>
    </x:row>
    <x:row r="13">
      <x:c r="A13" s="36"/>
      <x:c r="B13" s="36"/>
      <x:c r="C13" s="58"/>
      <x:c r="D13" s="36"/>
      <x:c r="E13" s="36"/>
      <x:c r="F13" s="36"/>
      <x:c r="G13" s="36"/>
      <x:c r="H13" s="36"/>
      <x:c r="I13" s="36"/>
    </x:row>
    <x:row r="14">
      <x:c r="A14" s="36"/>
      <x:c r="B14" s="36"/>
      <x:c r="C14" s="58"/>
      <x:c r="D14" s="36"/>
      <x:c r="E14" s="36"/>
      <x:c r="F14" s="36"/>
      <x:c r="G14" s="36"/>
      <x:c r="H14" s="36"/>
      <x:c r="I14" s="36"/>
    </x:row>
    <x:row r="15">
      <x:c r="A15" s="36"/>
      <x:c r="B15" s="36"/>
      <x:c r="C15" s="58"/>
      <x:c r="D15" s="36"/>
      <x:c r="E15" s="36"/>
      <x:c r="F15" s="36"/>
      <x:c r="G15" s="36"/>
      <x:c r="H15" s="36"/>
      <x:c r="I15" s="36"/>
    </x:row>
    <x:row r="16">
      <x:c r="A16" s="36"/>
      <x:c r="B16" s="36"/>
      <x:c r="C16" s="58"/>
      <x:c r="D16" s="36"/>
      <x:c r="E16" s="36"/>
      <x:c r="F16" s="36"/>
      <x:c r="G16" s="36"/>
      <x:c r="H16" s="36"/>
      <x:c r="I16" s="36"/>
    </x:row>
    <x:row r="17">
      <x:c r="A17" s="36"/>
      <x:c r="B17" s="36"/>
      <x:c r="C17" s="58"/>
      <x:c r="D17" s="36"/>
      <x:c r="E17" s="36"/>
      <x:c r="F17" s="36"/>
      <x:c r="G17" s="36"/>
      <x:c r="H17" s="36"/>
      <x:c r="I17" s="36"/>
    </x:row>
    <x:row r="18">
      <x:c r="A18" s="36"/>
      <x:c r="B18" s="36"/>
      <x:c r="C18" s="58"/>
      <x:c r="D18" s="36"/>
      <x:c r="E18" s="36"/>
      <x:c r="F18" s="36"/>
      <x:c r="G18" s="36"/>
      <x:c r="H18" s="36"/>
      <x:c r="I18" s="36"/>
    </x:row>
    <x:row r="19">
      <x:c r="A19" s="36"/>
      <x:c r="B19" s="36"/>
      <x:c r="C19" s="58"/>
      <x:c r="D19" s="36"/>
      <x:c r="E19" s="36"/>
      <x:c r="F19" s="36"/>
      <x:c r="G19" s="36"/>
      <x:c r="H19" s="36"/>
      <x:c r="I19" s="36"/>
    </x:row>
    <x:row r="20">
      <x:c r="A20" s="36"/>
      <x:c r="B20" s="36"/>
      <x:c r="C20" s="58"/>
      <x:c r="D20" s="36"/>
      <x:c r="E20" s="36"/>
      <x:c r="F20" s="36"/>
      <x:c r="G20" s="36"/>
      <x:c r="H20" s="36"/>
      <x:c r="I20" s="36"/>
    </x:row>
    <x:row r="21">
      <x:c r="A21" s="36"/>
      <x:c r="B21" s="36"/>
      <x:c r="C21" s="58"/>
      <x:c r="D21" s="36"/>
      <x:c r="E21" s="36"/>
      <x:c r="F21" s="36"/>
      <x:c r="G21" s="36"/>
      <x:c r="H21" s="36"/>
      <x:c r="I21" s="36"/>
    </x:row>
    <x:row r="22">
      <x:c r="A22" s="36"/>
      <x:c r="B22" s="36"/>
      <x:c r="C22" s="58"/>
      <x:c r="D22" s="36"/>
      <x:c r="E22" s="36"/>
      <x:c r="F22" s="36"/>
      <x:c r="G22" s="36"/>
      <x:c r="H22" s="36"/>
      <x:c r="I22" s="36"/>
    </x:row>
    <x:row r="23">
      <x:c r="A23" s="36"/>
      <x:c r="B23" s="36"/>
      <x:c r="C23" s="58"/>
      <x:c r="D23" s="36"/>
      <x:c r="E23" s="36"/>
      <x:c r="F23" s="36"/>
      <x:c r="G23" s="36"/>
      <x:c r="H23" s="36"/>
      <x:c r="I23" s="36"/>
    </x:row>
    <x:row r="24">
      <x:c r="A24" s="36"/>
      <x:c r="B24" s="36"/>
      <x:c r="C24" s="58"/>
      <x:c r="D24" s="36"/>
      <x:c r="E24" s="36"/>
      <x:c r="F24" s="36"/>
      <x:c r="G24" s="36"/>
      <x:c r="H24" s="36"/>
      <x:c r="I24" s="36"/>
    </x:row>
    <x:row r="25">
      <x:c r="A25" s="36"/>
      <x:c r="B25" s="36"/>
      <x:c r="C25" s="58"/>
      <x:c r="D25" s="36"/>
      <x:c r="E25" s="36"/>
      <x:c r="F25" s="36"/>
      <x:c r="G25" s="36"/>
      <x:c r="H25" s="36"/>
      <x:c r="I25" s="36"/>
    </x:row>
    <x:row r="26">
      <x:c r="A26" s="36"/>
      <x:c r="B26" s="36"/>
      <x:c r="C26" s="58"/>
      <x:c r="D26" s="36"/>
      <x:c r="E26" s="36"/>
      <x:c r="F26" s="36"/>
      <x:c r="G26" s="36"/>
      <x:c r="H26" s="36"/>
      <x:c r="I26" s="36"/>
    </x:row>
    <x:row r="27">
      <x:c r="A27" s="36"/>
      <x:c r="B27" s="36"/>
      <x:c r="C27" s="58"/>
      <x:c r="D27" s="36"/>
      <x:c r="E27" s="36"/>
      <x:c r="F27" s="36"/>
      <x:c r="G27" s="36"/>
      <x:c r="H27" s="36"/>
      <x:c r="I27" s="36"/>
    </x:row>
    <x:row r="28">
      <x:c r="A28" s="36"/>
      <x:c r="B28" s="36"/>
      <x:c r="C28" s="58"/>
      <x:c r="D28" s="36"/>
      <x:c r="E28" s="36"/>
      <x:c r="F28" s="36"/>
      <x:c r="G28" s="36"/>
      <x:c r="H28" s="36"/>
      <x:c r="I28" s="36"/>
    </x:row>
    <x:row r="29">
      <x:c r="A29" s="36"/>
      <x:c r="B29" s="36"/>
      <x:c r="C29" s="58"/>
      <x:c r="D29" s="36"/>
      <x:c r="E29" s="36"/>
      <x:c r="F29" s="36"/>
      <x:c r="G29" s="36"/>
      <x:c r="H29" s="36"/>
      <x:c r="I29" s="36"/>
    </x:row>
    <x:row r="30">
      <x:c r="A30" s="36"/>
      <x:c r="B30" s="36"/>
      <x:c r="C30" s="58"/>
      <x:c r="D30" s="36"/>
      <x:c r="E30" s="36"/>
      <x:c r="F30" s="36"/>
      <x:c r="G30" s="36"/>
      <x:c r="H30" s="36"/>
      <x:c r="I30" s="36"/>
    </x:row>
    <x:row r="31">
      <x:c r="A31" s="36"/>
      <x:c r="B31" s="36"/>
      <x:c r="C31" s="58"/>
      <x:c r="D31" s="36"/>
      <x:c r="E31" s="36"/>
      <x:c r="F31" s="36"/>
      <x:c r="G31" s="36"/>
      <x:c r="H31" s="36"/>
      <x:c r="I31" s="36"/>
    </x:row>
    <x:row r="32">
      <x:c r="A32" s="36"/>
      <x:c r="B32" s="36"/>
      <x:c r="C32" s="58"/>
      <x:c r="D32" s="36"/>
      <x:c r="E32" s="36"/>
      <x:c r="F32" s="36"/>
      <x:c r="G32" s="36"/>
      <x:c r="H32" s="36"/>
      <x:c r="I32" s="36"/>
    </x:row>
    <x:row r="33">
      <x:c r="A33" s="36"/>
      <x:c r="B33" s="36"/>
      <x:c r="C33" s="58"/>
      <x:c r="D33" s="36"/>
      <x:c r="E33" s="36"/>
      <x:c r="F33" s="36"/>
      <x:c r="G33" s="36"/>
      <x:c r="H33" s="36"/>
      <x:c r="I33" s="36"/>
    </x:row>
    <x:row r="34">
      <x:c r="A34" s="36"/>
      <x:c r="B34" s="36"/>
      <x:c r="C34" s="58"/>
      <x:c r="D34" s="36"/>
      <x:c r="E34" s="36"/>
      <x:c r="F34" s="36"/>
      <x:c r="G34" s="36"/>
      <x:c r="H34" s="36"/>
      <x:c r="I34" s="36"/>
    </x:row>
    <x:row r="35">
      <x:c r="A35" s="36"/>
      <x:c r="B35" s="36"/>
      <x:c r="C35" s="58"/>
      <x:c r="D35" s="36"/>
      <x:c r="E35" s="36"/>
      <x:c r="F35" s="36"/>
      <x:c r="G35" s="36"/>
      <x:c r="H35" s="36"/>
      <x:c r="I35" s="36"/>
    </x:row>
    <x:row r="36">
      <x:c r="A36" s="36"/>
      <x:c r="B36" s="36"/>
      <x:c r="C36" s="58"/>
      <x:c r="D36" s="36"/>
      <x:c r="E36" s="36"/>
      <x:c r="F36" s="36"/>
      <x:c r="G36" s="36"/>
      <x:c r="H36" s="36"/>
      <x:c r="I36" s="36"/>
    </x:row>
    <x:row r="37">
      <x:c r="A37" s="36"/>
      <x:c r="B37" s="36"/>
      <x:c r="C37" s="58"/>
      <x:c r="D37" s="36"/>
      <x:c r="E37" s="36"/>
      <x:c r="F37" s="36"/>
      <x:c r="G37" s="36"/>
      <x:c r="H37" s="36"/>
      <x:c r="I37" s="36"/>
    </x:row>
    <x:row r="38">
      <x:c r="A38" s="36"/>
      <x:c r="B38" s="36"/>
      <x:c r="C38" s="58"/>
      <x:c r="D38" s="36"/>
      <x:c r="E38" s="36"/>
      <x:c r="F38" s="36"/>
      <x:c r="G38" s="36"/>
      <x:c r="H38" s="36"/>
      <x:c r="I38" s="36"/>
    </x:row>
    <x:row r="39">
      <x:c r="A39" s="36"/>
      <x:c r="B39" s="36"/>
      <x:c r="C39" s="58"/>
      <x:c r="D39" s="36"/>
      <x:c r="E39" s="36"/>
      <x:c r="F39" s="36"/>
      <x:c r="G39" s="36"/>
      <x:c r="H39" s="36"/>
      <x:c r="I39" s="36"/>
    </x:row>
    <x:row r="40">
      <x:c r="A40" s="36"/>
      <x:c r="B40" s="36"/>
      <x:c r="C40" s="58"/>
      <x:c r="D40" s="36"/>
      <x:c r="E40" s="36"/>
      <x:c r="F40" s="36"/>
      <x:c r="G40" s="36"/>
      <x:c r="H40" s="36"/>
      <x:c r="I40" s="36"/>
    </x:row>
    <x:row r="41">
      <x:c r="A41" s="36"/>
      <x:c r="B41" s="36"/>
      <x:c r="C41" s="58"/>
      <x:c r="D41" s="36"/>
      <x:c r="E41" s="36"/>
      <x:c r="F41" s="36"/>
      <x:c r="G41" s="36"/>
      <x:c r="H41" s="36"/>
      <x:c r="I41" s="36"/>
    </x:row>
    <x:row r="42">
      <x:c r="A42" s="36"/>
      <x:c r="B42" s="36"/>
      <x:c r="C42" s="58"/>
      <x:c r="D42" s="36"/>
      <x:c r="E42" s="36"/>
      <x:c r="F42" s="36"/>
      <x:c r="G42" s="36"/>
      <x:c r="H42" s="36"/>
      <x:c r="I42" s="36"/>
    </x:row>
    <x:row r="43">
      <x:c r="A43" s="36"/>
      <x:c r="B43" s="36"/>
      <x:c r="C43" s="58"/>
      <x:c r="D43" s="36"/>
      <x:c r="E43" s="36"/>
      <x:c r="F43" s="36"/>
      <x:c r="G43" s="36"/>
      <x:c r="H43" s="36"/>
      <x:c r="I43" s="36"/>
    </x:row>
    <x:row r="44">
      <x:c r="A44" s="36"/>
      <x:c r="B44" s="36"/>
      <x:c r="C44" s="58"/>
      <x:c r="D44" s="36"/>
      <x:c r="E44" s="36"/>
      <x:c r="F44" s="36"/>
      <x:c r="G44" s="36"/>
      <x:c r="H44" s="36"/>
      <x:c r="I44" s="36"/>
    </x:row>
    <x:row r="45">
      <x:c r="A45" s="36"/>
      <x:c r="B45" s="36"/>
      <x:c r="C45" s="58"/>
      <x:c r="D45" s="36"/>
      <x:c r="E45" s="36"/>
      <x:c r="F45" s="36"/>
      <x:c r="G45" s="36"/>
      <x:c r="H45" s="36"/>
      <x:c r="I45" s="36"/>
    </x:row>
    <x:row r="46">
      <x:c r="A46" s="36"/>
      <x:c r="B46" s="36"/>
      <x:c r="C46" s="58"/>
      <x:c r="D46" s="36"/>
      <x:c r="E46" s="36"/>
      <x:c r="F46" s="36"/>
      <x:c r="G46" s="36"/>
      <x:c r="H46" s="36"/>
      <x:c r="I46" s="36"/>
    </x:row>
    <x:row r="47">
      <x:c r="A47" s="36"/>
      <x:c r="B47" s="36"/>
      <x:c r="C47" s="58"/>
      <x:c r="D47" s="36"/>
      <x:c r="E47" s="36"/>
      <x:c r="F47" s="36"/>
      <x:c r="G47" s="36"/>
      <x:c r="H47" s="36"/>
      <x:c r="I47" s="36"/>
    </x:row>
    <x:row r="48">
      <x:c r="A48" s="36"/>
      <x:c r="B48" s="36"/>
      <x:c r="C48" s="58"/>
      <x:c r="D48" s="36"/>
      <x:c r="E48" s="36"/>
      <x:c r="F48" s="36"/>
      <x:c r="G48" s="36"/>
      <x:c r="H48" s="36"/>
      <x:c r="I48" s="36"/>
    </x:row>
    <x:row r="49">
      <x:c r="A49" s="36"/>
      <x:c r="B49" s="36"/>
      <x:c r="C49" s="58"/>
      <x:c r="D49" s="36"/>
      <x:c r="E49" s="36"/>
      <x:c r="F49" s="36"/>
      <x:c r="G49" s="36"/>
      <x:c r="H49" s="36"/>
      <x:c r="I49" s="36"/>
    </x:row>
    <x:row r="50">
      <x:c r="A50" s="36"/>
      <x:c r="B50" s="36"/>
      <x:c r="C50" s="58"/>
      <x:c r="D50" s="36"/>
      <x:c r="E50" s="36"/>
      <x:c r="F50" s="36"/>
      <x:c r="G50" s="36"/>
      <x:c r="H50" s="36"/>
      <x:c r="I50" s="36"/>
    </x:row>
    <x:row r="51">
      <x:c r="A51" s="36"/>
      <x:c r="B51" s="36"/>
      <x:c r="C51" s="58"/>
      <x:c r="D51" s="36"/>
      <x:c r="E51" s="36"/>
      <x:c r="F51" s="36"/>
      <x:c r="G51" s="36"/>
      <x:c r="H51" s="36"/>
      <x:c r="I51" s="36"/>
    </x:row>
    <x:row r="52">
      <x:c r="A52" s="36"/>
      <x:c r="B52" s="36"/>
      <x:c r="C52" s="58"/>
      <x:c r="D52" s="36"/>
      <x:c r="E52" s="36"/>
      <x:c r="F52" s="36"/>
      <x:c r="G52" s="36"/>
      <x:c r="H52" s="36"/>
      <x:c r="I52" s="36"/>
    </x:row>
    <x:row r="53">
      <x:c r="A53" s="36"/>
      <x:c r="B53" s="36"/>
      <x:c r="C53" s="58"/>
      <x:c r="D53" s="36"/>
      <x:c r="E53" s="36"/>
      <x:c r="F53" s="36"/>
      <x:c r="G53" s="36"/>
      <x:c r="H53" s="36"/>
      <x:c r="I53" s="36"/>
    </x:row>
    <x:row r="54">
      <x:c r="A54" s="36"/>
      <x:c r="B54" s="36"/>
      <x:c r="C54" s="58"/>
      <x:c r="D54" s="36"/>
      <x:c r="E54" s="36"/>
      <x:c r="F54" s="36"/>
      <x:c r="G54" s="36"/>
      <x:c r="H54" s="36"/>
      <x:c r="I54" s="36"/>
    </x:row>
    <x:row r="55">
      <x:c r="A55" s="36"/>
      <x:c r="B55" s="36"/>
      <x:c r="C55" s="58"/>
      <x:c r="D55" s="36"/>
      <x:c r="E55" s="36"/>
      <x:c r="F55" s="36"/>
      <x:c r="G55" s="36"/>
      <x:c r="H55" s="36"/>
      <x:c r="I55" s="36"/>
    </x:row>
    <x:row r="56">
      <x:c r="A56" s="36"/>
      <x:c r="B56" s="36"/>
      <x:c r="C56" s="58"/>
      <x:c r="D56" s="36"/>
      <x:c r="E56" s="36"/>
      <x:c r="F56" s="36"/>
      <x:c r="G56" s="36"/>
      <x:c r="H56" s="36"/>
      <x:c r="I56" s="36"/>
    </x:row>
    <x:row r="57">
      <x:c r="A57" s="36"/>
      <x:c r="B57" s="36"/>
      <x:c r="C57" s="58"/>
      <x:c r="D57" s="36"/>
      <x:c r="E57" s="36"/>
      <x:c r="F57" s="36"/>
      <x:c r="G57" s="36"/>
      <x:c r="H57" s="36"/>
      <x:c r="I57" s="36"/>
    </x:row>
    <x:row r="58">
      <x:c r="A58" s="36"/>
      <x:c r="B58" s="36"/>
      <x:c r="C58" s="58"/>
      <x:c r="D58" s="36"/>
      <x:c r="E58" s="36"/>
      <x:c r="F58" s="36"/>
      <x:c r="G58" s="36"/>
      <x:c r="H58" s="36"/>
      <x:c r="I58" s="36"/>
    </x:row>
    <x:row r="59">
      <x:c r="A59" s="36"/>
      <x:c r="B59" s="36"/>
      <x:c r="C59" s="58"/>
      <x:c r="D59" s="36"/>
      <x:c r="E59" s="36"/>
      <x:c r="F59" s="36"/>
      <x:c r="G59" s="36"/>
      <x:c r="H59" s="36"/>
      <x:c r="I59" s="36"/>
    </x:row>
    <x:row r="60">
      <x:c r="A60" s="36"/>
      <x:c r="B60" s="36"/>
      <x:c r="C60" s="58"/>
      <x:c r="D60" s="36"/>
      <x:c r="E60" s="36"/>
      <x:c r="F60" s="36"/>
      <x:c r="G60" s="36"/>
      <x:c r="H60" s="36"/>
      <x:c r="I60" s="36"/>
    </x:row>
    <x:row r="61">
      <x:c r="A61" s="36"/>
      <x:c r="B61" s="36"/>
      <x:c r="C61" s="58"/>
      <x:c r="D61" s="36"/>
      <x:c r="E61" s="36"/>
      <x:c r="F61" s="36"/>
      <x:c r="G61" s="36"/>
      <x:c r="H61" s="36"/>
      <x:c r="I61" s="36"/>
    </x:row>
    <x:row r="62">
      <x:c r="A62" s="36"/>
      <x:c r="B62" s="36"/>
      <x:c r="C62" s="58"/>
      <x:c r="D62" s="36"/>
      <x:c r="E62" s="36"/>
      <x:c r="F62" s="36"/>
      <x:c r="G62" s="36"/>
      <x:c r="H62" s="36"/>
      <x:c r="I62" s="36"/>
    </x:row>
    <x:row r="63">
      <x:c r="A63" s="36"/>
      <x:c r="B63" s="36"/>
      <x:c r="C63" s="58"/>
      <x:c r="D63" s="36"/>
      <x:c r="E63" s="36"/>
      <x:c r="F63" s="36"/>
      <x:c r="G63" s="36"/>
      <x:c r="H63" s="36"/>
      <x:c r="I63" s="36"/>
    </x:row>
    <x:row r="64">
      <x:c r="A64" s="36"/>
      <x:c r="B64" s="36"/>
      <x:c r="C64" s="58"/>
      <x:c r="D64" s="36"/>
      <x:c r="E64" s="36"/>
      <x:c r="F64" s="36"/>
      <x:c r="G64" s="36"/>
      <x:c r="H64" s="36"/>
      <x:c r="I64" s="36"/>
    </x:row>
    <x:row r="65">
      <x:c r="A65" s="36"/>
      <x:c r="B65" s="36"/>
      <x:c r="C65" s="58"/>
      <x:c r="D65" s="36"/>
      <x:c r="E65" s="36"/>
      <x:c r="F65" s="36"/>
      <x:c r="G65" s="36"/>
      <x:c r="H65" s="36"/>
      <x:c r="I65" s="36"/>
    </x:row>
    <x:row r="66">
      <x:c r="A66" s="36"/>
      <x:c r="B66" s="36"/>
      <x:c r="C66" s="58"/>
      <x:c r="D66" s="36"/>
      <x:c r="E66" s="36"/>
      <x:c r="F66" s="36"/>
      <x:c r="G66" s="36"/>
      <x:c r="H66" s="36"/>
      <x:c r="I66" s="36"/>
    </x:row>
    <x:row r="67">
      <x:c r="A67" s="36"/>
      <x:c r="B67" s="36"/>
      <x:c r="C67" s="58"/>
      <x:c r="D67" s="36"/>
      <x:c r="E67" s="36"/>
      <x:c r="F67" s="36"/>
      <x:c r="G67" s="36"/>
      <x:c r="H67" s="36"/>
      <x:c r="I67" s="36"/>
    </x:row>
    <x:row r="68">
      <x:c r="A68" s="36"/>
      <x:c r="B68" s="36"/>
      <x:c r="C68" s="58"/>
      <x:c r="D68" s="36"/>
      <x:c r="E68" s="36"/>
      <x:c r="F68" s="36"/>
      <x:c r="G68" s="36"/>
      <x:c r="H68" s="36"/>
      <x:c r="I68" s="36"/>
    </x:row>
    <x:row r="69">
      <x:c r="A69" s="36"/>
      <x:c r="B69" s="36"/>
      <x:c r="C69" s="58"/>
      <x:c r="D69" s="36"/>
      <x:c r="E69" s="36"/>
      <x:c r="F69" s="36"/>
      <x:c r="G69" s="36"/>
      <x:c r="H69" s="36"/>
      <x:c r="I69" s="36"/>
    </x:row>
    <x:row r="70">
      <x:c r="A70" s="36"/>
      <x:c r="B70" s="36"/>
      <x:c r="C70" s="58"/>
      <x:c r="D70" s="36"/>
      <x:c r="E70" s="36"/>
      <x:c r="F70" s="36"/>
      <x:c r="G70" s="36"/>
      <x:c r="H70" s="36"/>
      <x:c r="I70" s="36"/>
    </x:row>
    <x:row r="71">
      <x:c r="A71" s="36"/>
      <x:c r="B71" s="36"/>
      <x:c r="C71" s="58"/>
      <x:c r="D71" s="36"/>
      <x:c r="E71" s="36"/>
      <x:c r="F71" s="36"/>
      <x:c r="G71" s="36"/>
      <x:c r="H71" s="36"/>
      <x:c r="I71" s="36"/>
    </x:row>
    <x:row r="72">
      <x:c r="A72" s="36"/>
      <x:c r="B72" s="36"/>
      <x:c r="C72" s="58"/>
      <x:c r="D72" s="36"/>
      <x:c r="E72" s="36"/>
      <x:c r="F72" s="36"/>
      <x:c r="G72" s="36"/>
      <x:c r="H72" s="36"/>
      <x:c r="I72" s="36"/>
    </x:row>
    <x:row r="73">
      <x:c r="A73" s="36"/>
      <x:c r="B73" s="36"/>
      <x:c r="C73" s="58"/>
      <x:c r="D73" s="36"/>
      <x:c r="E73" s="36"/>
      <x:c r="F73" s="36"/>
      <x:c r="G73" s="36"/>
      <x:c r="H73" s="36"/>
      <x:c r="I73" s="36"/>
    </x:row>
    <x:row r="74">
      <x:c r="A74" s="36"/>
      <x:c r="B74" s="36"/>
      <x:c r="C74" s="58"/>
      <x:c r="D74" s="36"/>
      <x:c r="E74" s="36"/>
      <x:c r="F74" s="36"/>
      <x:c r="G74" s="36"/>
      <x:c r="H74" s="36"/>
      <x:c r="I74" s="36"/>
    </x:row>
    <x:row r="75">
      <x:c r="A75" s="36"/>
      <x:c r="B75" s="36"/>
      <x:c r="C75" s="58"/>
      <x:c r="D75" s="36"/>
      <x:c r="E75" s="36"/>
      <x:c r="F75" s="36"/>
      <x:c r="G75" s="36"/>
      <x:c r="H75" s="36"/>
      <x:c r="I75" s="36"/>
    </x:row>
    <x:row r="76">
      <x:c r="A76" s="36"/>
      <x:c r="B76" s="36"/>
      <x:c r="C76" s="58"/>
      <x:c r="D76" s="36"/>
      <x:c r="E76" s="36"/>
      <x:c r="F76" s="36"/>
      <x:c r="G76" s="36"/>
      <x:c r="H76" s="36"/>
      <x:c r="I76" s="36"/>
    </x:row>
    <x:row r="77">
      <x:c r="A77" s="36"/>
      <x:c r="B77" s="36"/>
      <x:c r="C77" s="58"/>
      <x:c r="D77" s="36"/>
      <x:c r="E77" s="36"/>
      <x:c r="F77" s="36"/>
      <x:c r="G77" s="36"/>
      <x:c r="H77" s="36"/>
      <x:c r="I77" s="36"/>
    </x:row>
    <x:row r="78">
      <x:c r="A78" s="36"/>
      <x:c r="B78" s="36"/>
      <x:c r="C78" s="58"/>
      <x:c r="D78" s="36"/>
      <x:c r="E78" s="36"/>
      <x:c r="F78" s="36"/>
      <x:c r="G78" s="36"/>
      <x:c r="H78" s="36"/>
      <x:c r="I78" s="36"/>
    </x:row>
    <x:row r="79">
      <x:c r="A79" s="36"/>
      <x:c r="B79" s="36"/>
      <x:c r="C79" s="58"/>
      <x:c r="D79" s="36"/>
      <x:c r="E79" s="36"/>
      <x:c r="F79" s="36"/>
      <x:c r="G79" s="36"/>
      <x:c r="H79" s="36"/>
      <x:c r="I79" s="36"/>
    </x:row>
    <x:row r="80">
      <x:c r="A80" s="36"/>
      <x:c r="B80" s="36"/>
      <x:c r="C80" s="58"/>
      <x:c r="D80" s="36"/>
      <x:c r="E80" s="36"/>
      <x:c r="F80" s="36"/>
      <x:c r="G80" s="36"/>
      <x:c r="H80" s="36"/>
      <x:c r="I80" s="36"/>
    </x:row>
    <x:row r="81">
      <x:c r="A81" s="36"/>
      <x:c r="B81" s="36"/>
      <x:c r="C81" s="58"/>
      <x:c r="D81" s="36"/>
      <x:c r="E81" s="36"/>
      <x:c r="F81" s="36"/>
      <x:c r="G81" s="36"/>
      <x:c r="H81" s="36"/>
      <x:c r="I81" s="36"/>
    </x:row>
    <x:row r="82">
      <x:c r="A82" s="36"/>
      <x:c r="B82" s="36"/>
      <x:c r="C82" s="58"/>
      <x:c r="D82" s="36"/>
      <x:c r="E82" s="36"/>
      <x:c r="F82" s="36"/>
      <x:c r="G82" s="36"/>
      <x:c r="H82" s="36"/>
      <x:c r="I82" s="36"/>
    </x:row>
    <x:row r="83">
      <x:c r="A83" s="36"/>
      <x:c r="B83" s="36"/>
      <x:c r="C83" s="58"/>
      <x:c r="D83" s="36"/>
      <x:c r="E83" s="36"/>
      <x:c r="F83" s="36"/>
      <x:c r="G83" s="36"/>
      <x:c r="H83" s="36"/>
      <x:c r="I83" s="36"/>
    </x:row>
    <x:row r="84">
      <x:c r="A84" s="36"/>
      <x:c r="B84" s="36"/>
      <x:c r="C84" s="58"/>
      <x:c r="D84" s="36"/>
      <x:c r="E84" s="36"/>
      <x:c r="F84" s="36"/>
      <x:c r="G84" s="36"/>
      <x:c r="H84" s="36"/>
      <x:c r="I84" s="36"/>
    </x:row>
    <x:row r="85">
      <x:c r="A85" s="36"/>
      <x:c r="B85" s="36"/>
      <x:c r="C85" s="58"/>
      <x:c r="D85" s="36"/>
      <x:c r="E85" s="36"/>
      <x:c r="F85" s="36"/>
      <x:c r="G85" s="36"/>
      <x:c r="H85" s="36"/>
      <x:c r="I85" s="36"/>
    </x:row>
    <x:row r="86">
      <x:c r="A86" s="36"/>
      <x:c r="B86" s="36"/>
      <x:c r="C86" s="58"/>
      <x:c r="D86" s="36"/>
      <x:c r="E86" s="36"/>
      <x:c r="F86" s="36"/>
      <x:c r="G86" s="36"/>
      <x:c r="H86" s="36"/>
      <x:c r="I86" s="36"/>
    </x:row>
    <x:row r="87">
      <x:c r="A87" s="36"/>
      <x:c r="B87" s="36"/>
      <x:c r="C87" s="58"/>
      <x:c r="D87" s="36"/>
      <x:c r="E87" s="36"/>
      <x:c r="F87" s="36"/>
      <x:c r="G87" s="36"/>
      <x:c r="H87" s="36"/>
      <x:c r="I87" s="36"/>
    </x:row>
    <x:row r="88">
      <x:c r="A88" s="36"/>
      <x:c r="B88" s="36"/>
      <x:c r="C88" s="58"/>
      <x:c r="D88" s="36"/>
      <x:c r="E88" s="36"/>
      <x:c r="F88" s="36"/>
      <x:c r="G88" s="36"/>
      <x:c r="H88" s="36"/>
      <x:c r="I88" s="36"/>
    </x:row>
    <x:row r="89">
      <x:c r="A89" s="36"/>
      <x:c r="B89" s="36"/>
      <x:c r="C89" s="58"/>
      <x:c r="D89" s="36"/>
      <x:c r="E89" s="36"/>
      <x:c r="F89" s="36"/>
      <x:c r="G89" s="36"/>
      <x:c r="H89" s="36"/>
      <x:c r="I89" s="36"/>
    </x:row>
    <x:row r="90">
      <x:c r="A90" s="36"/>
      <x:c r="B90" s="36"/>
      <x:c r="C90" s="58"/>
      <x:c r="D90" s="36"/>
      <x:c r="E90" s="36"/>
      <x:c r="F90" s="36"/>
      <x:c r="G90" s="36"/>
      <x:c r="H90" s="36"/>
      <x:c r="I90" s="36"/>
    </x:row>
    <x:row r="91">
      <x:c r="A91" s="36"/>
      <x:c r="B91" s="36"/>
      <x:c r="C91" s="58"/>
      <x:c r="D91" s="36"/>
      <x:c r="E91" s="36"/>
      <x:c r="F91" s="36"/>
      <x:c r="G91" s="36"/>
      <x:c r="H91" s="36"/>
      <x:c r="I91" s="36"/>
    </x:row>
    <x:row r="92">
      <x:c r="A92" s="36"/>
      <x:c r="B92" s="36"/>
      <x:c r="C92" s="58"/>
      <x:c r="D92" s="36"/>
      <x:c r="E92" s="36"/>
      <x:c r="F92" s="36"/>
      <x:c r="G92" s="36"/>
      <x:c r="H92" s="36"/>
      <x:c r="I92" s="36"/>
    </x:row>
    <x:row r="93">
      <x:c r="A93" s="36"/>
      <x:c r="B93" s="36"/>
      <x:c r="C93" s="58"/>
      <x:c r="D93" s="36"/>
      <x:c r="E93" s="36"/>
      <x:c r="F93" s="36"/>
      <x:c r="G93" s="36"/>
      <x:c r="H93" s="36"/>
      <x:c r="I93" s="36"/>
    </x:row>
    <x:row r="94">
      <x:c r="A94" s="36"/>
      <x:c r="B94" s="36"/>
      <x:c r="C94" s="58"/>
      <x:c r="D94" s="36"/>
      <x:c r="E94" s="36"/>
      <x:c r="F94" s="36"/>
      <x:c r="G94" s="36"/>
      <x:c r="H94" s="36"/>
      <x:c r="I94" s="36"/>
    </x:row>
    <x:row r="95">
      <x:c r="A95" s="36"/>
      <x:c r="B95" s="36"/>
      <x:c r="C95" s="58"/>
      <x:c r="D95" s="36"/>
      <x:c r="E95" s="36"/>
      <x:c r="F95" s="36"/>
      <x:c r="G95" s="36"/>
      <x:c r="H95" s="36"/>
      <x:c r="I95" s="36"/>
    </x:row>
    <x:row r="96">
      <x:c r="A96" s="36"/>
      <x:c r="B96" s="36"/>
      <x:c r="C96" s="58"/>
      <x:c r="D96" s="36"/>
      <x:c r="E96" s="36"/>
      <x:c r="F96" s="36"/>
      <x:c r="G96" s="36"/>
      <x:c r="H96" s="36"/>
      <x:c r="I96" s="36"/>
    </x:row>
    <x:row r="97">
      <x:c r="A97" s="36"/>
      <x:c r="B97" s="36"/>
      <x:c r="C97" s="58"/>
      <x:c r="D97" s="36"/>
      <x:c r="E97" s="36"/>
      <x:c r="F97" s="36"/>
      <x:c r="G97" s="36"/>
      <x:c r="H97" s="36"/>
      <x:c r="I97" s="36"/>
    </x:row>
    <x:row r="98">
      <x:c r="A98" s="36"/>
      <x:c r="B98" s="36"/>
      <x:c r="C98" s="58"/>
      <x:c r="D98" s="36"/>
      <x:c r="E98" s="36"/>
      <x:c r="F98" s="36"/>
      <x:c r="G98" s="36"/>
      <x:c r="H98" s="36"/>
      <x:c r="I98" s="36"/>
    </x:row>
    <x:row r="99">
      <x:c r="A99" s="36"/>
      <x:c r="B99" s="36"/>
      <x:c r="C99" s="58"/>
      <x:c r="D99" s="36"/>
      <x:c r="E99" s="36"/>
      <x:c r="F99" s="36"/>
      <x:c r="G99" s="36"/>
      <x:c r="H99" s="36"/>
      <x:c r="I99" s="36"/>
    </x:row>
    <x:row r="100">
      <x:c r="A100" s="36"/>
      <x:c r="B100" s="36"/>
      <x:c r="C100" s="58"/>
      <x:c r="D100" s="36"/>
      <x:c r="E100" s="36"/>
      <x:c r="F100" s="36"/>
      <x:c r="G100" s="36"/>
      <x:c r="H100" s="36"/>
      <x:c r="I100" s="36"/>
    </x:row>
    <x:row r="101">
      <x:c r="A101" s="36"/>
      <x:c r="B101" s="36"/>
      <x:c r="C101" s="58"/>
      <x:c r="D101" s="36"/>
      <x:c r="E101" s="36"/>
      <x:c r="F101" s="36"/>
      <x:c r="G101" s="36"/>
      <x:c r="H101" s="36"/>
      <x:c r="I101" s="36"/>
    </x:row>
    <x:row r="102">
      <x:c r="A102" s="36"/>
      <x:c r="B102" s="36"/>
      <x:c r="C102" s="58"/>
      <x:c r="D102" s="36"/>
      <x:c r="E102" s="36"/>
      <x:c r="F102" s="36"/>
      <x:c r="G102" s="36"/>
      <x:c r="H102" s="36"/>
      <x:c r="I102" s="36"/>
    </x:row>
    <x:row r="103">
      <x:c r="A103" s="36"/>
      <x:c r="B103" s="36"/>
      <x:c r="C103" s="58"/>
      <x:c r="D103" s="36"/>
      <x:c r="E103" s="36"/>
      <x:c r="F103" s="36"/>
      <x:c r="G103" s="36"/>
      <x:c r="H103" s="36"/>
      <x:c r="I103" s="36"/>
    </x:row>
    <x:row r="104">
      <x:c r="A104" s="36"/>
      <x:c r="B104" s="36"/>
      <x:c r="C104" s="58"/>
      <x:c r="D104" s="36"/>
      <x:c r="E104" s="36"/>
      <x:c r="F104" s="36"/>
      <x:c r="G104" s="36"/>
      <x:c r="H104" s="36"/>
      <x:c r="I104" s="36"/>
    </x:row>
    <x:row r="105">
      <x:c r="A105" s="36"/>
      <x:c r="B105" s="36"/>
      <x:c r="C105" s="58"/>
      <x:c r="D105" s="36"/>
      <x:c r="E105" s="36"/>
      <x:c r="F105" s="36"/>
      <x:c r="G105" s="36"/>
      <x:c r="H105" s="36"/>
      <x:c r="I105" s="36"/>
    </x:row>
    <x:row r="106">
      <x:c r="A106" s="36"/>
      <x:c r="B106" s="36"/>
      <x:c r="C106" s="58"/>
      <x:c r="D106" s="36"/>
      <x:c r="E106" s="36"/>
      <x:c r="F106" s="36"/>
      <x:c r="G106" s="36"/>
      <x:c r="H106" s="36"/>
      <x:c r="I106" s="36"/>
    </x:row>
    <x:row r="107">
      <x:c r="A107" s="36"/>
      <x:c r="B107" s="36"/>
      <x:c r="C107" s="58"/>
      <x:c r="D107" s="36"/>
      <x:c r="E107" s="36"/>
      <x:c r="F107" s="36"/>
      <x:c r="G107" s="36"/>
      <x:c r="H107" s="36"/>
      <x:c r="I107" s="36"/>
    </x:row>
    <x:row r="108">
      <x:c r="A108" s="36"/>
      <x:c r="B108" s="36"/>
      <x:c r="C108" s="58"/>
      <x:c r="D108" s="36"/>
      <x:c r="E108" s="36"/>
      <x:c r="F108" s="36"/>
      <x:c r="G108" s="36"/>
      <x:c r="H108" s="36"/>
      <x:c r="I108" s="36"/>
    </x:row>
    <x:row r="109">
      <x:c r="A109" s="36"/>
      <x:c r="B109" s="36"/>
      <x:c r="C109" s="58"/>
      <x:c r="D109" s="36"/>
      <x:c r="E109" s="36"/>
      <x:c r="F109" s="36"/>
      <x:c r="G109" s="36"/>
      <x:c r="H109" s="36"/>
      <x:c r="I109" s="36"/>
    </x:row>
    <x:row r="110">
      <x:c r="A110" s="36"/>
      <x:c r="B110" s="36"/>
      <x:c r="C110" s="58"/>
      <x:c r="D110" s="36"/>
      <x:c r="E110" s="36"/>
      <x:c r="F110" s="36"/>
      <x:c r="G110" s="36"/>
      <x:c r="H110" s="36"/>
      <x:c r="I110" s="36"/>
    </x:row>
    <x:row r="111">
      <x:c r="A111" s="36"/>
      <x:c r="B111" s="36"/>
      <x:c r="C111" s="58"/>
      <x:c r="D111" s="36"/>
      <x:c r="E111" s="36"/>
      <x:c r="F111" s="36"/>
      <x:c r="G111" s="36"/>
      <x:c r="H111" s="36"/>
      <x:c r="I111" s="36"/>
    </x:row>
    <x:row r="112">
      <x:c r="A112" s="36"/>
      <x:c r="B112" s="36"/>
      <x:c r="C112" s="58"/>
      <x:c r="D112" s="36"/>
      <x:c r="E112" s="36"/>
      <x:c r="F112" s="36"/>
      <x:c r="G112" s="36"/>
      <x:c r="H112" s="36"/>
      <x:c r="I112" s="36"/>
    </x:row>
    <x:row r="113">
      <x:c r="A113" s="36"/>
      <x:c r="B113" s="36"/>
      <x:c r="C113" s="58"/>
      <x:c r="D113" s="36"/>
      <x:c r="E113" s="36"/>
      <x:c r="F113" s="36"/>
      <x:c r="G113" s="36"/>
      <x:c r="H113" s="36"/>
      <x:c r="I113" s="36"/>
    </x:row>
    <x:row r="114">
      <x:c r="A114" s="36"/>
      <x:c r="B114" s="36"/>
      <x:c r="C114" s="58"/>
      <x:c r="D114" s="36"/>
      <x:c r="E114" s="36"/>
      <x:c r="F114" s="36"/>
      <x:c r="G114" s="36"/>
      <x:c r="H114" s="36"/>
      <x:c r="I114" s="36"/>
    </x:row>
    <x:row r="115">
      <x:c r="A115" s="36"/>
      <x:c r="B115" s="36"/>
      <x:c r="C115" s="58"/>
      <x:c r="D115" s="36"/>
      <x:c r="E115" s="36"/>
      <x:c r="F115" s="36"/>
      <x:c r="G115" s="36"/>
      <x:c r="H115" s="36"/>
      <x:c r="I115" s="36"/>
    </x:row>
    <x:row r="116">
      <x:c r="A116" s="36"/>
      <x:c r="B116" s="36"/>
      <x:c r="C116" s="58"/>
      <x:c r="D116" s="36"/>
      <x:c r="E116" s="36"/>
      <x:c r="F116" s="36"/>
      <x:c r="G116" s="36"/>
      <x:c r="H116" s="36"/>
      <x:c r="I116" s="36"/>
    </x:row>
    <x:row r="117">
      <x:c r="A117" s="36"/>
      <x:c r="B117" s="36"/>
      <x:c r="C117" s="58"/>
      <x:c r="D117" s="36"/>
      <x:c r="E117" s="36"/>
      <x:c r="F117" s="36"/>
      <x:c r="G117" s="36"/>
      <x:c r="H117" s="36"/>
      <x:c r="I117" s="36"/>
    </x:row>
    <x:row r="118">
      <x:c r="A118" s="36"/>
      <x:c r="B118" s="36"/>
      <x:c r="C118" s="58"/>
      <x:c r="D118" s="36"/>
      <x:c r="E118" s="36"/>
      <x:c r="F118" s="36"/>
      <x:c r="G118" s="36"/>
      <x:c r="H118" s="36"/>
      <x:c r="I118" s="36"/>
    </x:row>
    <x:row r="119">
      <x:c r="A119" s="36"/>
      <x:c r="B119" s="36"/>
      <x:c r="C119" s="58"/>
      <x:c r="D119" s="36"/>
      <x:c r="E119" s="36"/>
      <x:c r="F119" s="36"/>
      <x:c r="G119" s="36"/>
      <x:c r="H119" s="36"/>
      <x:c r="I119" s="36"/>
    </x:row>
    <x:row r="120">
      <x:c r="A120" s="36"/>
      <x:c r="B120" s="36"/>
      <x:c r="C120" s="58"/>
      <x:c r="D120" s="36"/>
      <x:c r="E120" s="36"/>
      <x:c r="F120" s="36"/>
      <x:c r="G120" s="36"/>
      <x:c r="H120" s="36"/>
      <x:c r="I120" s="36"/>
    </x:row>
    <x:row r="121">
      <x:c r="A121" s="36"/>
      <x:c r="B121" s="36"/>
      <x:c r="C121" s="58"/>
      <x:c r="D121" s="36"/>
      <x:c r="E121" s="36"/>
      <x:c r="F121" s="36"/>
      <x:c r="G121" s="36"/>
      <x:c r="H121" s="36"/>
      <x:c r="I121" s="36"/>
    </x:row>
    <x:row r="122">
      <x:c r="A122" s="36"/>
      <x:c r="B122" s="36"/>
      <x:c r="C122" s="58"/>
      <x:c r="D122" s="36"/>
      <x:c r="E122" s="36"/>
      <x:c r="F122" s="36"/>
      <x:c r="G122" s="36"/>
      <x:c r="H122" s="36"/>
      <x:c r="I122" s="36"/>
    </x:row>
    <x:row r="123">
      <x:c r="A123" s="36"/>
      <x:c r="B123" s="36"/>
      <x:c r="C123" s="58"/>
      <x:c r="D123" s="36"/>
      <x:c r="E123" s="36"/>
      <x:c r="F123" s="36"/>
      <x:c r="G123" s="36"/>
      <x:c r="H123" s="36"/>
      <x:c r="I123" s="36"/>
    </x:row>
    <x:row r="124">
      <x:c r="A124" s="36"/>
      <x:c r="B124" s="36"/>
      <x:c r="C124" s="58"/>
      <x:c r="D124" s="36"/>
      <x:c r="E124" s="36"/>
      <x:c r="F124" s="36"/>
      <x:c r="G124" s="36"/>
      <x:c r="H124" s="36"/>
      <x:c r="I124" s="36"/>
    </x:row>
    <x:row r="125">
      <x:c r="A125" s="36"/>
      <x:c r="B125" s="36"/>
      <x:c r="C125" s="58"/>
      <x:c r="D125" s="36"/>
      <x:c r="E125" s="36"/>
      <x:c r="F125" s="36"/>
      <x:c r="G125" s="36"/>
      <x:c r="H125" s="36"/>
      <x:c r="I125" s="36"/>
    </x:row>
    <x:row r="126">
      <x:c r="A126" s="36"/>
      <x:c r="B126" s="36"/>
      <x:c r="C126" s="58"/>
      <x:c r="D126" s="36"/>
      <x:c r="E126" s="36"/>
      <x:c r="F126" s="36"/>
      <x:c r="G126" s="36"/>
      <x:c r="H126" s="36"/>
      <x:c r="I126" s="36"/>
    </x:row>
    <x:row r="127">
      <x:c r="A127" s="36"/>
      <x:c r="B127" s="36"/>
      <x:c r="C127" s="58"/>
      <x:c r="D127" s="36"/>
      <x:c r="E127" s="36"/>
      <x:c r="F127" s="36"/>
      <x:c r="G127" s="36"/>
      <x:c r="H127" s="36"/>
      <x:c r="I127" s="36"/>
    </x:row>
    <x:row r="128">
      <x:c r="A128" s="36"/>
      <x:c r="B128" s="36"/>
      <x:c r="C128" s="58"/>
      <x:c r="D128" s="36"/>
      <x:c r="E128" s="36"/>
      <x:c r="F128" s="36"/>
      <x:c r="G128" s="36"/>
      <x:c r="H128" s="36"/>
      <x:c r="I128" s="36"/>
    </x:row>
    <x:row r="129">
      <x:c r="A129" s="36"/>
      <x:c r="B129" s="36"/>
      <x:c r="C129" s="58"/>
      <x:c r="D129" s="36"/>
      <x:c r="E129" s="36"/>
      <x:c r="F129" s="36"/>
      <x:c r="G129" s="36"/>
      <x:c r="H129" s="36"/>
      <x:c r="I129" s="36"/>
    </x:row>
    <x:row r="130">
      <x:c r="A130" s="36"/>
      <x:c r="B130" s="36"/>
      <x:c r="C130" s="58"/>
      <x:c r="D130" s="36"/>
      <x:c r="E130" s="36"/>
      <x:c r="F130" s="36"/>
      <x:c r="G130" s="36"/>
      <x:c r="H130" s="36"/>
      <x:c r="I130" s="36"/>
    </x:row>
    <x:row r="131">
      <x:c r="A131" s="36"/>
      <x:c r="B131" s="36"/>
      <x:c r="C131" s="58"/>
      <x:c r="D131" s="36"/>
      <x:c r="E131" s="36"/>
      <x:c r="F131" s="36"/>
      <x:c r="G131" s="36"/>
      <x:c r="H131" s="36"/>
      <x:c r="I131" s="36"/>
    </x:row>
    <x:row r="132">
      <x:c r="A132" s="36"/>
      <x:c r="B132" s="36"/>
      <x:c r="C132" s="58"/>
      <x:c r="D132" s="36"/>
      <x:c r="E132" s="36"/>
      <x:c r="F132" s="36"/>
      <x:c r="G132" s="36"/>
      <x:c r="H132" s="36"/>
      <x:c r="I132" s="36"/>
    </x:row>
    <x:row r="133">
      <x:c r="A133" s="36"/>
      <x:c r="B133" s="36"/>
      <x:c r="C133" s="58"/>
      <x:c r="D133" s="36"/>
      <x:c r="E133" s="36"/>
      <x:c r="F133" s="36"/>
      <x:c r="G133" s="36"/>
      <x:c r="H133" s="36"/>
      <x:c r="I133" s="36"/>
    </x:row>
    <x:row r="134">
      <x:c r="A134" s="36"/>
      <x:c r="B134" s="36"/>
      <x:c r="C134" s="58"/>
      <x:c r="D134" s="36"/>
      <x:c r="E134" s="36"/>
      <x:c r="F134" s="36"/>
      <x:c r="G134" s="36"/>
      <x:c r="H134" s="36"/>
      <x:c r="I134" s="36"/>
    </x:row>
    <x:row r="135">
      <x:c r="A135" s="36"/>
      <x:c r="B135" s="36"/>
      <x:c r="C135" s="58"/>
      <x:c r="D135" s="36"/>
      <x:c r="E135" s="36"/>
      <x:c r="F135" s="36"/>
      <x:c r="G135" s="36"/>
      <x:c r="H135" s="36"/>
      <x:c r="I135" s="36"/>
    </x:row>
    <x:row r="136">
      <x:c r="A136" s="36"/>
      <x:c r="B136" s="36"/>
      <x:c r="C136" s="58"/>
      <x:c r="D136" s="36"/>
      <x:c r="E136" s="36"/>
      <x:c r="F136" s="36"/>
      <x:c r="G136" s="36"/>
      <x:c r="H136" s="36"/>
      <x:c r="I136" s="36"/>
    </x:row>
    <x:row r="137">
      <x:c r="A137" s="36"/>
      <x:c r="B137" s="36"/>
      <x:c r="C137" s="58"/>
      <x:c r="D137" s="36"/>
      <x:c r="E137" s="36"/>
      <x:c r="F137" s="36"/>
      <x:c r="G137" s="36"/>
      <x:c r="H137" s="36"/>
      <x:c r="I137" s="36"/>
    </x:row>
    <x:row r="138">
      <x:c r="A138" s="36"/>
      <x:c r="B138" s="36"/>
      <x:c r="C138" s="58"/>
      <x:c r="D138" s="36"/>
      <x:c r="E138" s="36"/>
      <x:c r="F138" s="36"/>
      <x:c r="G138" s="36"/>
      <x:c r="H138" s="36"/>
      <x:c r="I138" s="36"/>
    </x:row>
    <x:row r="139">
      <x:c r="A139" s="36"/>
      <x:c r="B139" s="36"/>
      <x:c r="C139" s="58"/>
      <x:c r="D139" s="36"/>
      <x:c r="E139" s="36"/>
      <x:c r="F139" s="36"/>
      <x:c r="G139" s="36"/>
      <x:c r="H139" s="36"/>
      <x:c r="I139" s="36"/>
    </x:row>
    <x:row r="140">
      <x:c r="A140" s="36"/>
      <x:c r="B140" s="36"/>
      <x:c r="C140" s="58"/>
      <x:c r="D140" s="36"/>
      <x:c r="E140" s="36"/>
      <x:c r="F140" s="36"/>
      <x:c r="G140" s="36"/>
      <x:c r="H140" s="36"/>
      <x:c r="I140" s="36"/>
    </x:row>
    <x:row r="141">
      <x:c r="A141" s="36"/>
      <x:c r="B141" s="36"/>
      <x:c r="C141" s="58"/>
      <x:c r="D141" s="36"/>
      <x:c r="E141" s="36"/>
      <x:c r="F141" s="36"/>
      <x:c r="G141" s="36"/>
      <x:c r="H141" s="36"/>
      <x:c r="I141" s="36"/>
    </x:row>
    <x:row r="142">
      <x:c r="A142" s="36"/>
      <x:c r="B142" s="36"/>
      <x:c r="C142" s="58"/>
      <x:c r="D142" s="36"/>
      <x:c r="E142" s="36"/>
      <x:c r="F142" s="36"/>
      <x:c r="G142" s="36"/>
      <x:c r="H142" s="36"/>
      <x:c r="I142" s="36"/>
    </x:row>
    <x:row r="143">
      <x:c r="A143" s="36"/>
      <x:c r="B143" s="36"/>
      <x:c r="C143" s="58"/>
      <x:c r="D143" s="36"/>
      <x:c r="E143" s="36"/>
      <x:c r="F143" s="36"/>
      <x:c r="G143" s="36"/>
      <x:c r="H143" s="36"/>
      <x:c r="I143" s="36"/>
    </x:row>
    <x:row r="144">
      <x:c r="A144" s="36"/>
      <x:c r="B144" s="36"/>
      <x:c r="C144" s="58"/>
      <x:c r="D144" s="36"/>
      <x:c r="E144" s="36"/>
      <x:c r="F144" s="36"/>
      <x:c r="G144" s="36"/>
      <x:c r="H144" s="36"/>
      <x:c r="I144" s="36"/>
    </x:row>
    <x:row r="145">
      <x:c r="A145" s="36"/>
      <x:c r="B145" s="36"/>
      <x:c r="C145" s="58"/>
      <x:c r="D145" s="36"/>
      <x:c r="E145" s="36"/>
      <x:c r="F145" s="36"/>
      <x:c r="G145" s="36"/>
      <x:c r="H145" s="36"/>
      <x:c r="I145" s="36"/>
    </x:row>
    <x:row r="146">
      <x:c r="A146" s="36"/>
      <x:c r="B146" s="36"/>
      <x:c r="C146" s="58"/>
      <x:c r="D146" s="36"/>
      <x:c r="E146" s="36"/>
      <x:c r="F146" s="36"/>
      <x:c r="G146" s="36"/>
      <x:c r="H146" s="36"/>
      <x:c r="I146" s="36"/>
    </x:row>
    <x:row r="147">
      <x:c r="A147" s="36"/>
      <x:c r="B147" s="36"/>
      <x:c r="C147" s="58"/>
      <x:c r="D147" s="36"/>
      <x:c r="E147" s="36"/>
      <x:c r="F147" s="36"/>
      <x:c r="G147" s="36"/>
      <x:c r="H147" s="36"/>
      <x:c r="I147" s="36"/>
    </x:row>
    <x:row r="148">
      <x:c r="A148" s="36"/>
      <x:c r="B148" s="36"/>
      <x:c r="C148" s="58"/>
      <x:c r="D148" s="36"/>
      <x:c r="E148" s="36"/>
      <x:c r="F148" s="36"/>
      <x:c r="G148" s="36"/>
      <x:c r="H148" s="36"/>
      <x:c r="I148" s="36"/>
    </x:row>
    <x:row r="149">
      <x:c r="A149" s="36"/>
      <x:c r="B149" s="36"/>
      <x:c r="C149" s="58"/>
      <x:c r="D149" s="36"/>
      <x:c r="E149" s="36"/>
      <x:c r="F149" s="36"/>
      <x:c r="G149" s="36"/>
      <x:c r="H149" s="36"/>
      <x:c r="I149" s="36"/>
    </x:row>
    <x:row r="150">
      <x:c r="A150" s="36"/>
      <x:c r="B150" s="36"/>
      <x:c r="C150" s="58"/>
      <x:c r="D150" s="36"/>
      <x:c r="E150" s="36"/>
      <x:c r="F150" s="36"/>
      <x:c r="G150" s="36"/>
      <x:c r="H150" s="36"/>
      <x:c r="I150" s="36"/>
    </x:row>
    <x:row r="151">
      <x:c r="A151" s="36"/>
      <x:c r="B151" s="36"/>
      <x:c r="C151" s="58"/>
      <x:c r="D151" s="36"/>
      <x:c r="E151" s="36"/>
      <x:c r="F151" s="36"/>
      <x:c r="G151" s="36"/>
      <x:c r="H151" s="36"/>
      <x:c r="I151" s="36"/>
    </x:row>
    <x:row r="152">
      <x:c r="A152" s="36"/>
      <x:c r="B152" s="36"/>
      <x:c r="C152" s="58"/>
      <x:c r="D152" s="36"/>
      <x:c r="E152" s="36"/>
      <x:c r="F152" s="36"/>
      <x:c r="G152" s="36"/>
      <x:c r="H152" s="36"/>
      <x:c r="I152" s="36"/>
    </x:row>
    <x:row r="153">
      <x:c r="A153" s="36"/>
      <x:c r="B153" s="36"/>
      <x:c r="C153" s="58"/>
      <x:c r="D153" s="36"/>
      <x:c r="E153" s="36"/>
      <x:c r="F153" s="36"/>
      <x:c r="G153" s="36"/>
      <x:c r="H153" s="36"/>
      <x:c r="I153" s="36"/>
    </x:row>
    <x:row r="154">
      <x:c r="A154" s="36"/>
      <x:c r="B154" s="36"/>
      <x:c r="C154" s="58"/>
      <x:c r="D154" s="36"/>
      <x:c r="E154" s="36"/>
      <x:c r="F154" s="36"/>
      <x:c r="G154" s="36"/>
      <x:c r="H154" s="36"/>
      <x:c r="I154" s="36"/>
    </x:row>
    <x:row r="155">
      <x:c r="A155" s="36"/>
      <x:c r="B155" s="36"/>
      <x:c r="C155" s="58"/>
      <x:c r="D155" s="36"/>
      <x:c r="E155" s="36"/>
      <x:c r="F155" s="36"/>
      <x:c r="G155" s="36"/>
      <x:c r="H155" s="36"/>
      <x:c r="I155" s="36"/>
    </x:row>
    <x:row r="156">
      <x:c r="A156" s="36"/>
      <x:c r="B156" s="36"/>
      <x:c r="C156" s="58"/>
      <x:c r="D156" s="36"/>
      <x:c r="E156" s="36"/>
      <x:c r="F156" s="36"/>
      <x:c r="G156" s="36"/>
      <x:c r="H156" s="36"/>
      <x:c r="I156" s="36"/>
    </x:row>
    <x:row r="157">
      <x:c r="A157" s="36"/>
      <x:c r="B157" s="36"/>
      <x:c r="C157" s="58"/>
      <x:c r="D157" s="36"/>
      <x:c r="E157" s="36"/>
      <x:c r="F157" s="36"/>
      <x:c r="G157" s="36"/>
      <x:c r="H157" s="36"/>
      <x:c r="I157" s="36"/>
    </x:row>
    <x:row r="158">
      <x:c r="A158" s="36"/>
      <x:c r="B158" s="36"/>
      <x:c r="C158" s="58"/>
      <x:c r="D158" s="36"/>
      <x:c r="E158" s="36"/>
      <x:c r="F158" s="36"/>
      <x:c r="G158" s="36"/>
      <x:c r="H158" s="36"/>
      <x:c r="I158" s="36"/>
    </x:row>
    <x:row r="159">
      <x:c r="A159" s="36"/>
      <x:c r="B159" s="36"/>
      <x:c r="C159" s="58"/>
      <x:c r="D159" s="36"/>
      <x:c r="E159" s="36"/>
      <x:c r="F159" s="36"/>
      <x:c r="G159" s="36"/>
      <x:c r="H159" s="36"/>
      <x:c r="I159" s="36"/>
    </x:row>
    <x:row r="160">
      <x:c r="A160" s="36"/>
      <x:c r="B160" s="36"/>
      <x:c r="C160" s="58"/>
      <x:c r="D160" s="36"/>
      <x:c r="E160" s="36"/>
      <x:c r="F160" s="36"/>
      <x:c r="G160" s="36"/>
      <x:c r="H160" s="36"/>
      <x:c r="I160" s="36"/>
    </x:row>
    <x:row r="161">
      <x:c r="A161" s="36"/>
      <x:c r="B161" s="36"/>
      <x:c r="C161" s="58"/>
      <x:c r="D161" s="36"/>
      <x:c r="E161" s="36"/>
      <x:c r="F161" s="36"/>
      <x:c r="G161" s="36"/>
      <x:c r="H161" s="36"/>
      <x:c r="I161" s="36"/>
    </x:row>
    <x:row r="162">
      <x:c r="A162" s="36"/>
      <x:c r="B162" s="36"/>
      <x:c r="C162" s="58"/>
      <x:c r="D162" s="36"/>
      <x:c r="E162" s="36"/>
      <x:c r="F162" s="36"/>
      <x:c r="G162" s="36"/>
      <x:c r="H162" s="36"/>
      <x:c r="I162" s="36"/>
    </x:row>
    <x:row r="163">
      <x:c r="A163" s="36"/>
      <x:c r="B163" s="36"/>
      <x:c r="C163" s="58"/>
      <x:c r="D163" s="36"/>
      <x:c r="E163" s="36"/>
      <x:c r="F163" s="36"/>
      <x:c r="G163" s="36"/>
      <x:c r="H163" s="36"/>
      <x:c r="I163" s="36"/>
    </x:row>
    <x:row r="164">
      <x:c r="A164" s="36"/>
      <x:c r="B164" s="36"/>
      <x:c r="C164" s="58"/>
      <x:c r="D164" s="36"/>
      <x:c r="E164" s="36"/>
      <x:c r="F164" s="36"/>
      <x:c r="G164" s="36"/>
      <x:c r="H164" s="36"/>
      <x:c r="I164" s="36"/>
    </x:row>
    <x:row r="165">
      <x:c r="A165" s="36"/>
      <x:c r="B165" s="36"/>
      <x:c r="C165" s="58"/>
      <x:c r="D165" s="36"/>
      <x:c r="E165" s="36"/>
      <x:c r="F165" s="36"/>
      <x:c r="G165" s="36"/>
      <x:c r="H165" s="36"/>
      <x:c r="I165" s="36"/>
    </x:row>
    <x:row r="166">
      <x:c r="A166" s="36"/>
      <x:c r="B166" s="36"/>
      <x:c r="C166" s="58"/>
      <x:c r="D166" s="36"/>
      <x:c r="E166" s="36"/>
      <x:c r="F166" s="36"/>
      <x:c r="G166" s="36"/>
      <x:c r="H166" s="36"/>
      <x:c r="I166" s="36"/>
    </x:row>
    <x:row r="167">
      <x:c r="A167" s="36"/>
      <x:c r="B167" s="36"/>
      <x:c r="C167" s="58"/>
      <x:c r="D167" s="36"/>
      <x:c r="E167" s="36"/>
      <x:c r="F167" s="36"/>
      <x:c r="G167" s="36"/>
      <x:c r="H167" s="36"/>
      <x:c r="I167" s="36"/>
    </x:row>
    <x:row r="168">
      <x:c r="A168" s="36"/>
      <x:c r="B168" s="36"/>
      <x:c r="C168" s="58"/>
      <x:c r="D168" s="36"/>
      <x:c r="E168" s="36"/>
      <x:c r="F168" s="36"/>
      <x:c r="G168" s="36"/>
      <x:c r="H168" s="36"/>
      <x:c r="I168" s="36"/>
    </x:row>
    <x:row r="169">
      <x:c r="A169" s="36"/>
      <x:c r="B169" s="36"/>
      <x:c r="C169" s="58"/>
      <x:c r="D169" s="36"/>
      <x:c r="E169" s="36"/>
      <x:c r="F169" s="36"/>
      <x:c r="G169" s="36"/>
      <x:c r="H169" s="36"/>
      <x:c r="I169" s="36"/>
    </x:row>
    <x:row r="170">
      <x:c r="A170" s="36"/>
      <x:c r="B170" s="36"/>
      <x:c r="C170" s="58"/>
      <x:c r="D170" s="36"/>
      <x:c r="E170" s="36"/>
      <x:c r="F170" s="36"/>
      <x:c r="G170" s="36"/>
      <x:c r="H170" s="36"/>
      <x:c r="I170" s="36"/>
    </x:row>
    <x:row r="171">
      <x:c r="A171" s="36"/>
      <x:c r="B171" s="36"/>
      <x:c r="C171" s="58"/>
      <x:c r="D171" s="36"/>
      <x:c r="E171" s="36"/>
      <x:c r="F171" s="36"/>
      <x:c r="G171" s="36"/>
      <x:c r="H171" s="36"/>
      <x:c r="I171" s="36"/>
    </x:row>
    <x:row r="172">
      <x:c r="A172" s="36"/>
      <x:c r="B172" s="36"/>
      <x:c r="C172" s="58"/>
      <x:c r="D172" s="36"/>
      <x:c r="E172" s="36"/>
      <x:c r="F172" s="36"/>
      <x:c r="G172" s="36"/>
      <x:c r="H172" s="36"/>
      <x:c r="I172" s="36"/>
    </x:row>
    <x:row r="173">
      <x:c r="A173" s="36"/>
      <x:c r="B173" s="36"/>
      <x:c r="C173" s="58"/>
      <x:c r="D173" s="36"/>
      <x:c r="E173" s="36"/>
      <x:c r="F173" s="36"/>
      <x:c r="G173" s="36"/>
      <x:c r="H173" s="36"/>
      <x:c r="I173" s="36"/>
    </x:row>
    <x:row r="174">
      <x:c r="A174" s="36"/>
      <x:c r="B174" s="36"/>
      <x:c r="C174" s="58"/>
      <x:c r="D174" s="36"/>
      <x:c r="E174" s="36"/>
      <x:c r="F174" s="36"/>
      <x:c r="G174" s="36"/>
      <x:c r="H174" s="36"/>
      <x:c r="I174" s="36"/>
    </x:row>
    <x:row r="175">
      <x:c r="A175" s="36"/>
      <x:c r="B175" s="36"/>
      <x:c r="C175" s="58"/>
      <x:c r="D175" s="36"/>
      <x:c r="E175" s="36"/>
      <x:c r="F175" s="36"/>
      <x:c r="G175" s="36"/>
      <x:c r="H175" s="36"/>
      <x:c r="I175" s="36"/>
    </x:row>
    <x:row r="176">
      <x:c r="A176" s="36"/>
      <x:c r="B176" s="36"/>
      <x:c r="C176" s="58"/>
      <x:c r="D176" s="36"/>
      <x:c r="E176" s="36"/>
      <x:c r="F176" s="36"/>
      <x:c r="G176" s="36"/>
      <x:c r="H176" s="36"/>
      <x:c r="I176" s="36"/>
    </x:row>
    <x:row r="177">
      <x:c r="A177" s="36"/>
      <x:c r="B177" s="36"/>
      <x:c r="C177" s="58"/>
      <x:c r="D177" s="36"/>
      <x:c r="E177" s="36"/>
      <x:c r="F177" s="36"/>
      <x:c r="G177" s="36"/>
      <x:c r="H177" s="36"/>
      <x:c r="I177" s="36"/>
    </x:row>
    <x:row r="178">
      <x:c r="A178" s="36"/>
      <x:c r="B178" s="36"/>
      <x:c r="C178" s="58"/>
      <x:c r="D178" s="36"/>
      <x:c r="E178" s="36"/>
      <x:c r="F178" s="36"/>
      <x:c r="G178" s="36"/>
      <x:c r="H178" s="36"/>
      <x:c r="I178" s="36"/>
    </x:row>
    <x:row r="179">
      <x:c r="A179" s="36"/>
      <x:c r="B179" s="36"/>
      <x:c r="C179" s="58"/>
      <x:c r="D179" s="36"/>
      <x:c r="E179" s="36"/>
      <x:c r="F179" s="36"/>
      <x:c r="G179" s="36"/>
      <x:c r="H179" s="36"/>
      <x:c r="I179" s="36"/>
    </x:row>
    <x:row r="180">
      <x:c r="A180" s="36"/>
      <x:c r="B180" s="36"/>
      <x:c r="C180" s="58"/>
      <x:c r="D180" s="36"/>
      <x:c r="E180" s="36"/>
      <x:c r="F180" s="36"/>
      <x:c r="G180" s="36"/>
      <x:c r="H180" s="36"/>
      <x:c r="I180" s="36"/>
    </x:row>
    <x:row r="181">
      <x:c r="A181" s="36"/>
      <x:c r="B181" s="36"/>
      <x:c r="C181" s="58"/>
      <x:c r="D181" s="36"/>
      <x:c r="E181" s="36"/>
      <x:c r="F181" s="36"/>
      <x:c r="G181" s="36"/>
      <x:c r="H181" s="36"/>
      <x:c r="I181" s="36"/>
    </x:row>
    <x:row r="182">
      <x:c r="A182" s="36"/>
      <x:c r="B182" s="36"/>
      <x:c r="C182" s="58"/>
      <x:c r="D182" s="36"/>
      <x:c r="E182" s="36"/>
      <x:c r="F182" s="36"/>
      <x:c r="G182" s="36"/>
      <x:c r="H182" s="36"/>
      <x:c r="I182" s="36"/>
    </x:row>
    <x:row r="183">
      <x:c r="A183" s="36"/>
      <x:c r="B183" s="36"/>
      <x:c r="C183" s="58"/>
      <x:c r="D183" s="36"/>
      <x:c r="E183" s="36"/>
      <x:c r="F183" s="36"/>
      <x:c r="G183" s="36"/>
      <x:c r="H183" s="36"/>
      <x:c r="I183" s="36"/>
    </x:row>
    <x:row r="184">
      <x:c r="A184" s="36"/>
      <x:c r="B184" s="36"/>
      <x:c r="C184" s="58"/>
      <x:c r="D184" s="36"/>
      <x:c r="E184" s="36"/>
      <x:c r="F184" s="36"/>
      <x:c r="G184" s="36"/>
      <x:c r="H184" s="36"/>
      <x:c r="I184" s="36"/>
    </x:row>
    <x:row r="185">
      <x:c r="A185" s="36"/>
      <x:c r="B185" s="36"/>
      <x:c r="C185" s="58"/>
      <x:c r="D185" s="36"/>
      <x:c r="E185" s="36"/>
      <x:c r="F185" s="36"/>
      <x:c r="G185" s="36"/>
      <x:c r="H185" s="36"/>
      <x:c r="I185" s="36"/>
    </x:row>
    <x:row r="186">
      <x:c r="A186" s="36"/>
      <x:c r="B186" s="36"/>
      <x:c r="C186" s="58"/>
      <x:c r="D186" s="36"/>
      <x:c r="E186" s="36"/>
      <x:c r="F186" s="36"/>
      <x:c r="G186" s="36"/>
      <x:c r="H186" s="36"/>
      <x:c r="I186" s="36"/>
    </x:row>
    <x:row r="187">
      <x:c r="A187" s="36"/>
      <x:c r="B187" s="36"/>
      <x:c r="C187" s="58"/>
      <x:c r="D187" s="36"/>
      <x:c r="E187" s="36"/>
      <x:c r="F187" s="36"/>
      <x:c r="G187" s="36"/>
      <x:c r="H187" s="36"/>
      <x:c r="I187" s="36"/>
    </x:row>
    <x:row r="188">
      <x:c r="A188" s="36"/>
      <x:c r="B188" s="36"/>
      <x:c r="C188" s="58"/>
      <x:c r="D188" s="36"/>
      <x:c r="E188" s="36"/>
      <x:c r="F188" s="36"/>
      <x:c r="G188" s="36"/>
      <x:c r="H188" s="36"/>
      <x:c r="I188" s="36"/>
    </x:row>
    <x:row r="189">
      <x:c r="A189" s="36"/>
      <x:c r="B189" s="36"/>
      <x:c r="C189" s="58"/>
      <x:c r="D189" s="36"/>
      <x:c r="E189" s="36"/>
      <x:c r="F189" s="36"/>
      <x:c r="G189" s="36"/>
      <x:c r="H189" s="36"/>
      <x:c r="I189" s="36"/>
    </x:row>
    <x:row r="190">
      <x:c r="A190" s="36"/>
      <x:c r="B190" s="36"/>
      <x:c r="C190" s="58"/>
      <x:c r="D190" s="36"/>
      <x:c r="E190" s="36"/>
      <x:c r="F190" s="36"/>
      <x:c r="G190" s="36"/>
      <x:c r="H190" s="36"/>
      <x:c r="I190" s="36"/>
    </x:row>
    <x:row r="191">
      <x:c r="A191" s="36"/>
      <x:c r="B191" s="36"/>
      <x:c r="C191" s="58"/>
      <x:c r="D191" s="36"/>
      <x:c r="E191" s="36"/>
      <x:c r="F191" s="36"/>
      <x:c r="G191" s="36"/>
      <x:c r="H191" s="36"/>
      <x:c r="I191" s="36"/>
    </x:row>
    <x:row r="192">
      <x:c r="A192" s="36"/>
      <x:c r="B192" s="36"/>
      <x:c r="C192" s="58"/>
      <x:c r="D192" s="36"/>
      <x:c r="E192" s="36"/>
      <x:c r="F192" s="36"/>
      <x:c r="G192" s="36"/>
      <x:c r="H192" s="36"/>
      <x:c r="I192" s="36"/>
    </x:row>
    <x:row r="193">
      <x:c r="A193" s="36"/>
      <x:c r="B193" s="36"/>
      <x:c r="C193" s="58"/>
      <x:c r="D193" s="36"/>
      <x:c r="E193" s="36"/>
      <x:c r="F193" s="36"/>
      <x:c r="G193" s="36"/>
      <x:c r="H193" s="36"/>
      <x:c r="I193" s="36"/>
    </x:row>
    <x:row r="194">
      <x:c r="A194" s="36"/>
      <x:c r="B194" s="36"/>
      <x:c r="C194" s="58"/>
      <x:c r="D194" s="36"/>
      <x:c r="E194" s="36"/>
      <x:c r="F194" s="36"/>
      <x:c r="G194" s="36"/>
      <x:c r="H194" s="36"/>
      <x:c r="I194" s="36"/>
    </x:row>
    <x:row r="195">
      <x:c r="A195" s="36"/>
      <x:c r="B195" s="36"/>
      <x:c r="C195" s="58"/>
      <x:c r="D195" s="36"/>
      <x:c r="E195" s="36"/>
      <x:c r="F195" s="36"/>
      <x:c r="G195" s="36"/>
      <x:c r="H195" s="36"/>
      <x:c r="I195" s="36"/>
    </x:row>
    <x:row r="196">
      <x:c r="A196" s="36"/>
      <x:c r="B196" s="36"/>
      <x:c r="C196" s="58"/>
      <x:c r="D196" s="36"/>
      <x:c r="E196" s="36"/>
      <x:c r="F196" s="36"/>
      <x:c r="G196" s="36"/>
      <x:c r="H196" s="36"/>
      <x:c r="I196" s="36"/>
    </x:row>
    <x:row r="197">
      <x:c r="A197" s="36"/>
      <x:c r="B197" s="36"/>
      <x:c r="C197" s="58"/>
      <x:c r="D197" s="36"/>
      <x:c r="E197" s="36"/>
      <x:c r="F197" s="36"/>
      <x:c r="G197" s="36"/>
      <x:c r="H197" s="36"/>
      <x:c r="I197" s="36"/>
    </x:row>
    <x:row r="198">
      <x:c r="A198" s="36"/>
      <x:c r="B198" s="36"/>
      <x:c r="C198" s="58"/>
      <x:c r="D198" s="36"/>
      <x:c r="E198" s="36"/>
      <x:c r="F198" s="36"/>
      <x:c r="G198" s="36"/>
      <x:c r="H198" s="36"/>
      <x:c r="I198" s="36"/>
    </x:row>
    <x:row r="199">
      <x:c r="A199" s="36"/>
      <x:c r="B199" s="36"/>
      <x:c r="C199" s="58"/>
      <x:c r="D199" s="36"/>
      <x:c r="E199" s="36"/>
      <x:c r="F199" s="36"/>
      <x:c r="G199" s="36"/>
      <x:c r="H199" s="36"/>
      <x:c r="I199" s="36"/>
    </x:row>
    <x:row r="200">
      <x:c r="A200" s="36"/>
      <x:c r="B200" s="36"/>
      <x:c r="C200" s="58"/>
      <x:c r="D200" s="36"/>
      <x:c r="E200" s="36"/>
      <x:c r="F200" s="36"/>
      <x:c r="G200" s="36"/>
      <x:c r="H200" s="36"/>
      <x:c r="I200" s="36"/>
    </x:row>
    <x:row r="201">
      <x:c r="A201" s="36"/>
      <x:c r="B201" s="36"/>
      <x:c r="C201" s="58"/>
      <x:c r="D201" s="36"/>
      <x:c r="E201" s="36"/>
      <x:c r="F201" s="36"/>
      <x:c r="G201" s="36"/>
      <x:c r="H201" s="36"/>
      <x:c r="I201" s="36"/>
    </x:row>
    <x:row r="202">
      <x:c r="A202" s="36"/>
      <x:c r="B202" s="36"/>
      <x:c r="C202" s="58"/>
      <x:c r="D202" s="36"/>
      <x:c r="E202" s="36"/>
      <x:c r="F202" s="36"/>
      <x:c r="G202" s="36"/>
      <x:c r="H202" s="36"/>
      <x:c r="I202" s="36"/>
    </x:row>
    <x:row r="203">
      <x:c r="A203" s="36"/>
      <x:c r="B203" s="36"/>
      <x:c r="C203" s="58"/>
      <x:c r="D203" s="36"/>
      <x:c r="E203" s="36"/>
      <x:c r="F203" s="36"/>
      <x:c r="G203" s="36"/>
      <x:c r="H203" s="36"/>
      <x:c r="I203" s="36"/>
    </x:row>
    <x:row r="204">
      <x:c r="A204" s="36"/>
      <x:c r="B204" s="36"/>
      <x:c r="C204" s="58"/>
      <x:c r="D204" s="36"/>
      <x:c r="E204" s="36"/>
      <x:c r="F204" s="36"/>
      <x:c r="G204" s="36"/>
      <x:c r="H204" s="36"/>
      <x:c r="I204" s="36"/>
    </x:row>
    <x:row r="205">
      <x:c r="A205" s="36"/>
      <x:c r="B205" s="36"/>
      <x:c r="C205" s="58"/>
      <x:c r="D205" s="36"/>
      <x:c r="E205" s="36"/>
      <x:c r="F205" s="36"/>
      <x:c r="G205" s="36"/>
      <x:c r="H205" s="36"/>
      <x:c r="I205" s="36"/>
    </x:row>
    <x:row r="206">
      <x:c r="A206" s="36"/>
      <x:c r="B206" s="36"/>
      <x:c r="C206" s="58"/>
      <x:c r="D206" s="36"/>
      <x:c r="E206" s="36"/>
      <x:c r="F206" s="36"/>
      <x:c r="G206" s="36"/>
      <x:c r="H206" s="36"/>
      <x:c r="I206" s="36"/>
    </x:row>
    <x:row r="207">
      <x:c r="A207" s="36"/>
      <x:c r="B207" s="36"/>
      <x:c r="C207" s="58"/>
      <x:c r="D207" s="36"/>
      <x:c r="E207" s="36"/>
      <x:c r="F207" s="36"/>
      <x:c r="G207" s="36"/>
      <x:c r="H207" s="36"/>
      <x:c r="I207" s="36"/>
    </x:row>
    <x:row r="208">
      <x:c r="A208" s="36"/>
      <x:c r="B208" s="36"/>
      <x:c r="C208" s="58"/>
      <x:c r="D208" s="36"/>
      <x:c r="E208" s="36"/>
      <x:c r="F208" s="36"/>
      <x:c r="G208" s="36"/>
      <x:c r="H208" s="36"/>
      <x:c r="I208" s="36"/>
    </x:row>
    <x:row r="209">
      <x:c r="A209" s="36"/>
      <x:c r="B209" s="36"/>
      <x:c r="C209" s="58"/>
      <x:c r="D209" s="36"/>
      <x:c r="E209" s="36"/>
      <x:c r="F209" s="36"/>
      <x:c r="G209" s="36"/>
      <x:c r="H209" s="36"/>
      <x:c r="I209" s="36"/>
    </x:row>
    <x:row r="210">
      <x:c r="A210" s="36"/>
      <x:c r="B210" s="36"/>
      <x:c r="C210" s="58"/>
      <x:c r="D210" s="36"/>
      <x:c r="E210" s="36"/>
      <x:c r="F210" s="36"/>
      <x:c r="G210" s="36"/>
      <x:c r="H210" s="36"/>
      <x:c r="I210" s="36"/>
    </x:row>
    <x:row r="211">
      <x:c r="A211" s="36"/>
      <x:c r="B211" s="36"/>
      <x:c r="C211" s="58"/>
      <x:c r="D211" s="36"/>
      <x:c r="E211" s="36"/>
      <x:c r="F211" s="36"/>
      <x:c r="G211" s="36"/>
      <x:c r="H211" s="36"/>
      <x:c r="I211" s="36"/>
    </x:row>
    <x:row r="212">
      <x:c r="A212" s="36"/>
      <x:c r="B212" s="36"/>
      <x:c r="C212" s="58"/>
      <x:c r="D212" s="36"/>
      <x:c r="E212" s="36"/>
      <x:c r="F212" s="36"/>
      <x:c r="G212" s="36"/>
      <x:c r="H212" s="36"/>
      <x:c r="I212" s="36"/>
    </x:row>
    <x:row r="213">
      <x:c r="A213" s="36"/>
      <x:c r="B213" s="36"/>
      <x:c r="C213" s="58"/>
      <x:c r="D213" s="36"/>
      <x:c r="E213" s="36"/>
      <x:c r="F213" s="36"/>
      <x:c r="G213" s="36"/>
      <x:c r="H213" s="36"/>
      <x:c r="I213" s="36"/>
    </x:row>
    <x:row r="214">
      <x:c r="A214" s="36"/>
      <x:c r="B214" s="36"/>
      <x:c r="C214" s="58"/>
      <x:c r="D214" s="36"/>
      <x:c r="E214" s="36"/>
      <x:c r="F214" s="36"/>
      <x:c r="G214" s="36"/>
      <x:c r="H214" s="36"/>
      <x:c r="I214" s="36"/>
    </x:row>
    <x:row r="215">
      <x:c r="A215" s="36"/>
      <x:c r="B215" s="36"/>
      <x:c r="C215" s="58"/>
      <x:c r="D215" s="36"/>
      <x:c r="E215" s="36"/>
      <x:c r="F215" s="36"/>
      <x:c r="G215" s="36"/>
      <x:c r="H215" s="36"/>
      <x:c r="I215" s="36"/>
    </x:row>
    <x:row r="216">
      <x:c r="A216" s="36"/>
      <x:c r="B216" s="36"/>
      <x:c r="C216" s="58"/>
      <x:c r="D216" s="36"/>
      <x:c r="E216" s="36"/>
      <x:c r="F216" s="36"/>
      <x:c r="G216" s="36"/>
      <x:c r="H216" s="36"/>
      <x:c r="I216" s="36"/>
    </x:row>
    <x:row r="217">
      <x:c r="A217" s="36"/>
      <x:c r="B217" s="36"/>
      <x:c r="C217" s="58"/>
      <x:c r="D217" s="36"/>
      <x:c r="E217" s="36"/>
      <x:c r="F217" s="36"/>
      <x:c r="G217" s="36"/>
      <x:c r="H217" s="36"/>
      <x:c r="I217" s="36"/>
    </x:row>
    <x:row r="218">
      <x:c r="A218" s="36"/>
      <x:c r="B218" s="36"/>
      <x:c r="C218" s="58"/>
      <x:c r="D218" s="36"/>
      <x:c r="E218" s="36"/>
      <x:c r="F218" s="36"/>
      <x:c r="G218" s="36"/>
      <x:c r="H218" s="36"/>
      <x:c r="I218" s="36"/>
    </x:row>
    <x:row r="219">
      <x:c r="A219" s="36"/>
      <x:c r="B219" s="36"/>
      <x:c r="C219" s="58"/>
      <x:c r="D219" s="36"/>
      <x:c r="E219" s="36"/>
      <x:c r="F219" s="36"/>
      <x:c r="G219" s="36"/>
      <x:c r="H219" s="36"/>
      <x:c r="I219" s="36"/>
    </x:row>
    <x:row r="220">
      <x:c r="A220" s="36"/>
      <x:c r="B220" s="36"/>
      <x:c r="C220" s="58"/>
      <x:c r="D220" s="36"/>
      <x:c r="E220" s="36"/>
      <x:c r="F220" s="36"/>
      <x:c r="G220" s="36"/>
      <x:c r="H220" s="36"/>
      <x:c r="I220" s="36"/>
    </x:row>
    <x:row r="221">
      <x:c r="A221" s="36"/>
      <x:c r="B221" s="36"/>
      <x:c r="C221" s="58"/>
      <x:c r="D221" s="36"/>
      <x:c r="E221" s="36"/>
      <x:c r="F221" s="36"/>
      <x:c r="G221" s="36"/>
      <x:c r="H221" s="36"/>
      <x:c r="I221" s="36"/>
    </x:row>
    <x:row r="222">
      <x:c r="A222" s="36"/>
      <x:c r="B222" s="36"/>
      <x:c r="C222" s="58"/>
      <x:c r="D222" s="36"/>
      <x:c r="E222" s="36"/>
      <x:c r="F222" s="36"/>
      <x:c r="G222" s="36"/>
      <x:c r="H222" s="36"/>
      <x:c r="I222" s="36"/>
    </x:row>
    <x:row r="223">
      <x:c r="A223" s="36"/>
      <x:c r="B223" s="36"/>
      <x:c r="C223" s="58"/>
      <x:c r="D223" s="36"/>
      <x:c r="E223" s="36"/>
      <x:c r="F223" s="36"/>
      <x:c r="G223" s="36"/>
      <x:c r="H223" s="36"/>
      <x:c r="I223" s="36"/>
    </x:row>
    <x:row r="224">
      <x:c r="A224" s="36"/>
      <x:c r="B224" s="36"/>
      <x:c r="C224" s="58"/>
      <x:c r="D224" s="36"/>
      <x:c r="E224" s="36"/>
      <x:c r="F224" s="36"/>
      <x:c r="G224" s="36"/>
      <x:c r="H224" s="36"/>
      <x:c r="I224" s="36"/>
    </x:row>
    <x:row r="225">
      <x:c r="A225" s="36"/>
      <x:c r="B225" s="36"/>
      <x:c r="C225" s="58"/>
      <x:c r="D225" s="36"/>
      <x:c r="E225" s="36"/>
      <x:c r="F225" s="36"/>
      <x:c r="G225" s="36"/>
      <x:c r="H225" s="36"/>
      <x:c r="I225" s="36"/>
    </x:row>
    <x:row r="226">
      <x:c r="A226" s="36"/>
      <x:c r="B226" s="36"/>
      <x:c r="C226" s="58"/>
      <x:c r="D226" s="36"/>
      <x:c r="E226" s="36"/>
      <x:c r="F226" s="36"/>
      <x:c r="G226" s="36"/>
      <x:c r="H226" s="36"/>
      <x:c r="I226" s="36"/>
    </x:row>
    <x:row r="227">
      <x:c r="A227" s="36"/>
      <x:c r="B227" s="36"/>
      <x:c r="C227" s="58"/>
      <x:c r="D227" s="36"/>
      <x:c r="E227" s="36"/>
      <x:c r="F227" s="36"/>
      <x:c r="G227" s="36"/>
      <x:c r="H227" s="36"/>
      <x:c r="I227" s="36"/>
    </x:row>
    <x:row r="228">
      <x:c r="A228" s="36"/>
      <x:c r="B228" s="36"/>
      <x:c r="C228" s="58"/>
      <x:c r="D228" s="36"/>
      <x:c r="E228" s="36"/>
      <x:c r="F228" s="36"/>
      <x:c r="G228" s="36"/>
      <x:c r="H228" s="36"/>
      <x:c r="I228" s="36"/>
    </x:row>
    <x:row r="229">
      <x:c r="A229" s="36"/>
      <x:c r="B229" s="36"/>
      <x:c r="C229" s="58"/>
      <x:c r="D229" s="36"/>
      <x:c r="E229" s="36"/>
      <x:c r="F229" s="36"/>
      <x:c r="G229" s="36"/>
      <x:c r="H229" s="36"/>
      <x:c r="I229" s="36"/>
    </x:row>
    <x:row r="230">
      <x:c r="A230" s="36"/>
      <x:c r="B230" s="36"/>
      <x:c r="C230" s="58"/>
      <x:c r="D230" s="36"/>
      <x:c r="E230" s="36"/>
      <x:c r="F230" s="36"/>
      <x:c r="G230" s="36"/>
      <x:c r="H230" s="36"/>
      <x:c r="I230" s="36"/>
    </x:row>
    <x:row r="231">
      <x:c r="A231" s="36"/>
      <x:c r="B231" s="36"/>
      <x:c r="C231" s="58"/>
      <x:c r="D231" s="36"/>
      <x:c r="E231" s="36"/>
      <x:c r="F231" s="36"/>
      <x:c r="G231" s="36"/>
      <x:c r="H231" s="36"/>
      <x:c r="I231" s="36"/>
    </x:row>
    <x:row r="232">
      <x:c r="A232" s="36"/>
      <x:c r="B232" s="36"/>
      <x:c r="C232" s="58"/>
      <x:c r="D232" s="36"/>
      <x:c r="E232" s="36"/>
      <x:c r="F232" s="36"/>
      <x:c r="G232" s="36"/>
      <x:c r="H232" s="36"/>
      <x:c r="I232" s="36"/>
    </x:row>
    <x:row r="233">
      <x:c r="A233" s="36"/>
      <x:c r="B233" s="36"/>
      <x:c r="C233" s="58"/>
      <x:c r="D233" s="36"/>
      <x:c r="E233" s="36"/>
      <x:c r="F233" s="36"/>
      <x:c r="G233" s="36"/>
      <x:c r="H233" s="36"/>
      <x:c r="I233" s="36"/>
    </x:row>
    <x:row r="234">
      <x:c r="A234" s="36"/>
      <x:c r="B234" s="36"/>
      <x:c r="C234" s="58"/>
      <x:c r="D234" s="36"/>
      <x:c r="E234" s="36"/>
      <x:c r="F234" s="36"/>
      <x:c r="G234" s="36"/>
      <x:c r="H234" s="36"/>
      <x:c r="I234" s="36"/>
    </x:row>
    <x:row r="235">
      <x:c r="A235" s="36"/>
      <x:c r="B235" s="36"/>
      <x:c r="C235" s="58"/>
      <x:c r="D235" s="36"/>
      <x:c r="E235" s="36"/>
      <x:c r="F235" s="36"/>
      <x:c r="G235" s="36"/>
      <x:c r="H235" s="36"/>
      <x:c r="I235" s="36"/>
    </x:row>
    <x:row r="236">
      <x:c r="A236" s="36"/>
      <x:c r="B236" s="36"/>
      <x:c r="C236" s="58"/>
      <x:c r="D236" s="36"/>
      <x:c r="E236" s="36"/>
      <x:c r="F236" s="36"/>
      <x:c r="G236" s="36"/>
      <x:c r="H236" s="36"/>
      <x:c r="I236" s="36"/>
    </x:row>
    <x:row r="237">
      <x:c r="A237" s="36"/>
      <x:c r="B237" s="36"/>
      <x:c r="C237" s="58"/>
      <x:c r="D237" s="36"/>
      <x:c r="E237" s="36"/>
      <x:c r="F237" s="36"/>
      <x:c r="G237" s="36"/>
      <x:c r="H237" s="36"/>
      <x:c r="I237" s="36"/>
    </x:row>
    <x:row r="238">
      <x:c r="A238" s="36"/>
      <x:c r="B238" s="36"/>
      <x:c r="C238" s="58"/>
      <x:c r="D238" s="36"/>
      <x:c r="E238" s="36"/>
      <x:c r="F238" s="36"/>
      <x:c r="G238" s="36"/>
      <x:c r="H238" s="36"/>
      <x:c r="I238" s="36"/>
    </x:row>
    <x:row r="239">
      <x:c r="A239" s="36"/>
      <x:c r="B239" s="36"/>
      <x:c r="C239" s="58"/>
      <x:c r="D239" s="36"/>
      <x:c r="E239" s="36"/>
      <x:c r="F239" s="36"/>
      <x:c r="G239" s="36"/>
      <x:c r="H239" s="36"/>
      <x:c r="I239" s="36"/>
    </x:row>
    <x:row r="240">
      <x:c r="A240" s="36"/>
      <x:c r="B240" s="36"/>
      <x:c r="C240" s="58"/>
      <x:c r="D240" s="36"/>
      <x:c r="E240" s="36"/>
      <x:c r="F240" s="36"/>
      <x:c r="G240" s="36"/>
      <x:c r="H240" s="36"/>
      <x:c r="I240" s="36"/>
    </x:row>
    <x:row r="241">
      <x:c r="A241" s="36"/>
      <x:c r="B241" s="36"/>
      <x:c r="C241" s="58"/>
      <x:c r="D241" s="36"/>
      <x:c r="E241" s="36"/>
      <x:c r="F241" s="36"/>
      <x:c r="G241" s="36"/>
      <x:c r="H241" s="36"/>
      <x:c r="I241" s="36"/>
    </x:row>
    <x:row r="242">
      <x:c r="A242" s="36"/>
      <x:c r="B242" s="36"/>
      <x:c r="C242" s="58"/>
      <x:c r="D242" s="36"/>
      <x:c r="E242" s="36"/>
      <x:c r="F242" s="36"/>
      <x:c r="G242" s="36"/>
      <x:c r="H242" s="36"/>
      <x:c r="I242" s="36"/>
    </x:row>
    <x:row r="243">
      <x:c r="A243" s="36"/>
      <x:c r="B243" s="36"/>
      <x:c r="C243" s="58"/>
      <x:c r="D243" s="36"/>
      <x:c r="E243" s="36"/>
      <x:c r="F243" s="36"/>
      <x:c r="G243" s="36"/>
      <x:c r="H243" s="36"/>
      <x:c r="I243" s="36"/>
    </x:row>
    <x:row r="244">
      <x:c r="A244" s="36"/>
      <x:c r="B244" s="36"/>
      <x:c r="C244" s="58"/>
      <x:c r="D244" s="36"/>
      <x:c r="E244" s="36"/>
      <x:c r="F244" s="36"/>
      <x:c r="G244" s="36"/>
      <x:c r="H244" s="36"/>
      <x:c r="I244" s="36"/>
    </x:row>
    <x:row r="245">
      <x:c r="A245" s="36"/>
      <x:c r="B245" s="36"/>
      <x:c r="C245" s="58"/>
      <x:c r="D245" s="36"/>
      <x:c r="E245" s="36"/>
      <x:c r="F245" s="36"/>
      <x:c r="G245" s="36"/>
      <x:c r="H245" s="36"/>
      <x:c r="I245" s="36"/>
    </x:row>
    <x:row r="246">
      <x:c r="A246" s="36"/>
      <x:c r="B246" s="36"/>
      <x:c r="C246" s="58"/>
      <x:c r="D246" s="36"/>
      <x:c r="E246" s="36"/>
      <x:c r="F246" s="36"/>
      <x:c r="G246" s="36"/>
      <x:c r="H246" s="36"/>
      <x:c r="I246" s="36"/>
    </x:row>
    <x:row r="247">
      <x:c r="A247" s="36"/>
      <x:c r="B247" s="36"/>
      <x:c r="C247" s="58"/>
      <x:c r="D247" s="36"/>
      <x:c r="E247" s="36"/>
      <x:c r="F247" s="36"/>
      <x:c r="G247" s="36"/>
      <x:c r="H247" s="36"/>
      <x:c r="I247" s="36"/>
    </x:row>
    <x:row r="248">
      <x:c r="A248" s="36"/>
      <x:c r="B248" s="36"/>
      <x:c r="C248" s="58"/>
      <x:c r="D248" s="36"/>
      <x:c r="E248" s="36"/>
      <x:c r="F248" s="36"/>
      <x:c r="G248" s="36"/>
      <x:c r="H248" s="36"/>
      <x:c r="I248" s="36"/>
    </x:row>
    <x:row r="249">
      <x:c r="A249" s="36"/>
      <x:c r="B249" s="36"/>
      <x:c r="C249" s="58"/>
      <x:c r="D249" s="36"/>
      <x:c r="E249" s="36"/>
      <x:c r="F249" s="36"/>
      <x:c r="G249" s="36"/>
      <x:c r="H249" s="36"/>
      <x:c r="I249" s="36"/>
    </x:row>
    <x:row r="250">
      <x:c r="A250" s="36"/>
      <x:c r="B250" s="36"/>
      <x:c r="C250" s="58"/>
      <x:c r="D250" s="36"/>
      <x:c r="E250" s="36"/>
      <x:c r="F250" s="36"/>
      <x:c r="G250" s="36"/>
      <x:c r="H250" s="36"/>
      <x:c r="I250" s="36"/>
    </x:row>
    <x:row r="251">
      <x:c r="A251" s="36"/>
      <x:c r="B251" s="36"/>
      <x:c r="C251" s="58"/>
      <x:c r="D251" s="36"/>
      <x:c r="E251" s="36"/>
      <x:c r="F251" s="36"/>
      <x:c r="G251" s="36"/>
      <x:c r="H251" s="36"/>
      <x:c r="I251" s="36"/>
    </x:row>
    <x:row r="252">
      <x:c r="A252" s="36"/>
      <x:c r="B252" s="36"/>
      <x:c r="C252" s="58"/>
      <x:c r="D252" s="36"/>
      <x:c r="E252" s="36"/>
      <x:c r="F252" s="36"/>
      <x:c r="G252" s="36"/>
      <x:c r="H252" s="36"/>
      <x:c r="I252" s="36"/>
    </x:row>
    <x:row r="253">
      <x:c r="A253" s="36"/>
      <x:c r="B253" s="36"/>
      <x:c r="C253" s="58"/>
      <x:c r="D253" s="36"/>
      <x:c r="E253" s="36"/>
      <x:c r="F253" s="36"/>
      <x:c r="G253" s="36"/>
      <x:c r="H253" s="36"/>
      <x:c r="I253" s="36"/>
    </x:row>
    <x:row r="254">
      <x:c r="A254" s="36"/>
      <x:c r="B254" s="36"/>
      <x:c r="C254" s="58"/>
      <x:c r="D254" s="36"/>
      <x:c r="E254" s="36"/>
      <x:c r="F254" s="36"/>
      <x:c r="G254" s="36"/>
      <x:c r="H254" s="36"/>
      <x:c r="I254" s="36"/>
    </x:row>
    <x:row r="255">
      <x:c r="A255" s="36"/>
      <x:c r="B255" s="36"/>
      <x:c r="C255" s="58"/>
      <x:c r="D255" s="36"/>
      <x:c r="E255" s="36"/>
      <x:c r="F255" s="36"/>
      <x:c r="G255" s="36"/>
      <x:c r="H255" s="36"/>
      <x:c r="I255" s="36"/>
    </x:row>
    <x:row r="256">
      <x:c r="A256" s="36"/>
      <x:c r="B256" s="36"/>
      <x:c r="C256" s="58"/>
      <x:c r="D256" s="36"/>
      <x:c r="E256" s="36"/>
      <x:c r="F256" s="36"/>
      <x:c r="G256" s="36"/>
      <x:c r="H256" s="36"/>
      <x:c r="I256" s="36"/>
    </x:row>
    <x:row r="257">
      <x:c r="A257" s="36"/>
      <x:c r="B257" s="36"/>
      <x:c r="C257" s="58"/>
      <x:c r="D257" s="36"/>
      <x:c r="E257" s="36"/>
      <x:c r="F257" s="36"/>
      <x:c r="G257" s="36"/>
      <x:c r="H257" s="36"/>
      <x:c r="I257" s="36"/>
    </x:row>
    <x:row r="258">
      <x:c r="A258" s="36"/>
      <x:c r="B258" s="36"/>
      <x:c r="C258" s="58"/>
      <x:c r="D258" s="36"/>
      <x:c r="E258" s="36"/>
      <x:c r="F258" s="36"/>
      <x:c r="G258" s="36"/>
      <x:c r="H258" s="36"/>
      <x:c r="I258" s="36"/>
    </x:row>
    <x:row r="259">
      <x:c r="A259" s="36"/>
      <x:c r="B259" s="36"/>
      <x:c r="C259" s="58"/>
      <x:c r="D259" s="36"/>
      <x:c r="E259" s="36"/>
      <x:c r="F259" s="36"/>
      <x:c r="G259" s="36"/>
      <x:c r="H259" s="36"/>
      <x:c r="I259" s="36"/>
    </x:row>
    <x:row r="260">
      <x:c r="A260" s="36"/>
      <x:c r="B260" s="36"/>
      <x:c r="C260" s="58"/>
      <x:c r="D260" s="36"/>
      <x:c r="E260" s="36"/>
      <x:c r="F260" s="36"/>
      <x:c r="G260" s="36"/>
      <x:c r="H260" s="36"/>
      <x:c r="I260" s="36"/>
    </x:row>
    <x:row r="261">
      <x:c r="A261" s="36"/>
      <x:c r="B261" s="36"/>
      <x:c r="C261" s="58"/>
      <x:c r="D261" s="36"/>
      <x:c r="E261" s="36"/>
      <x:c r="F261" s="36"/>
      <x:c r="G261" s="36"/>
      <x:c r="H261" s="36"/>
      <x:c r="I261" s="36"/>
    </x:row>
    <x:row r="262">
      <x:c r="A262" s="36"/>
      <x:c r="B262" s="36"/>
      <x:c r="C262" s="58"/>
      <x:c r="D262" s="36"/>
      <x:c r="E262" s="36"/>
      <x:c r="F262" s="36"/>
      <x:c r="G262" s="36"/>
      <x:c r="H262" s="36"/>
      <x:c r="I262" s="36"/>
    </x:row>
    <x:row r="263">
      <x:c r="A263" s="36"/>
      <x:c r="B263" s="36"/>
      <x:c r="C263" s="58"/>
      <x:c r="D263" s="36"/>
      <x:c r="E263" s="36"/>
      <x:c r="F263" s="36"/>
      <x:c r="G263" s="36"/>
      <x:c r="H263" s="36"/>
      <x:c r="I263" s="36"/>
    </x:row>
    <x:row r="264">
      <x:c r="A264" s="36"/>
      <x:c r="B264" s="36"/>
      <x:c r="C264" s="58"/>
      <x:c r="D264" s="36"/>
      <x:c r="E264" s="36"/>
      <x:c r="F264" s="36"/>
      <x:c r="G264" s="36"/>
      <x:c r="H264" s="36"/>
      <x:c r="I264" s="36"/>
    </x:row>
    <x:row r="265">
      <x:c r="A265" s="36"/>
      <x:c r="B265" s="36"/>
      <x:c r="C265" s="58"/>
      <x:c r="D265" s="36"/>
      <x:c r="E265" s="36"/>
      <x:c r="F265" s="36"/>
      <x:c r="G265" s="36"/>
      <x:c r="H265" s="36"/>
      <x:c r="I265" s="36"/>
    </x:row>
    <x:row r="266">
      <x:c r="A266" s="36"/>
      <x:c r="B266" s="36"/>
      <x:c r="C266" s="58"/>
      <x:c r="D266" s="36"/>
      <x:c r="E266" s="36"/>
      <x:c r="F266" s="36"/>
      <x:c r="G266" s="36"/>
      <x:c r="H266" s="36"/>
      <x:c r="I266" s="36"/>
    </x:row>
    <x:row r="267">
      <x:c r="A267" s="36"/>
      <x:c r="B267" s="36"/>
      <x:c r="C267" s="58"/>
      <x:c r="D267" s="36"/>
      <x:c r="E267" s="36"/>
      <x:c r="F267" s="36"/>
      <x:c r="G267" s="36"/>
      <x:c r="H267" s="36"/>
      <x:c r="I267" s="36"/>
    </x:row>
    <x:row r="268">
      <x:c r="A268" s="36"/>
      <x:c r="B268" s="36"/>
      <x:c r="C268" s="58"/>
      <x:c r="D268" s="36"/>
      <x:c r="E268" s="36"/>
      <x:c r="F268" s="36"/>
      <x:c r="G268" s="36"/>
      <x:c r="H268" s="36"/>
      <x:c r="I268" s="36"/>
    </x:row>
    <x:row r="269">
      <x:c r="A269" s="36"/>
      <x:c r="B269" s="36"/>
      <x:c r="C269" s="58"/>
      <x:c r="D269" s="36"/>
      <x:c r="E269" s="36"/>
      <x:c r="F269" s="36"/>
      <x:c r="G269" s="36"/>
      <x:c r="H269" s="36"/>
      <x:c r="I269" s="36"/>
    </x:row>
    <x:row r="270">
      <x:c r="A270" s="36"/>
      <x:c r="B270" s="36"/>
      <x:c r="C270" s="58"/>
      <x:c r="D270" s="36"/>
      <x:c r="E270" s="36"/>
      <x:c r="F270" s="36"/>
      <x:c r="G270" s="36"/>
      <x:c r="H270" s="36"/>
      <x:c r="I270" s="36"/>
    </x:row>
    <x:row r="271">
      <x:c r="A271" s="36"/>
      <x:c r="B271" s="36"/>
      <x:c r="C271" s="58"/>
      <x:c r="D271" s="36"/>
      <x:c r="E271" s="36"/>
      <x:c r="F271" s="36"/>
      <x:c r="G271" s="36"/>
      <x:c r="H271" s="36"/>
      <x:c r="I271" s="36"/>
    </x:row>
    <x:row r="272">
      <x:c r="A272" s="36"/>
      <x:c r="B272" s="36"/>
      <x:c r="C272" s="58"/>
      <x:c r="D272" s="36"/>
      <x:c r="E272" s="36"/>
      <x:c r="F272" s="36"/>
      <x:c r="G272" s="36"/>
      <x:c r="H272" s="36"/>
      <x:c r="I272" s="36"/>
    </x:row>
    <x:row r="273">
      <x:c r="A273" s="36"/>
      <x:c r="B273" s="36"/>
      <x:c r="C273" s="58"/>
      <x:c r="D273" s="36"/>
      <x:c r="E273" s="36"/>
      <x:c r="F273" s="36"/>
      <x:c r="G273" s="36"/>
      <x:c r="H273" s="36"/>
      <x:c r="I273" s="36"/>
    </x:row>
    <x:row r="274">
      <x:c r="A274" s="36"/>
      <x:c r="B274" s="36"/>
      <x:c r="C274" s="58"/>
      <x:c r="D274" s="36"/>
      <x:c r="E274" s="36"/>
      <x:c r="F274" s="36"/>
      <x:c r="G274" s="36"/>
      <x:c r="H274" s="36"/>
      <x:c r="I274" s="36"/>
    </x:row>
    <x:row r="275">
      <x:c r="A275" s="36"/>
      <x:c r="B275" s="36"/>
      <x:c r="C275" s="58"/>
      <x:c r="D275" s="36"/>
      <x:c r="E275" s="36"/>
      <x:c r="F275" s="36"/>
      <x:c r="G275" s="36"/>
      <x:c r="H275" s="36"/>
      <x:c r="I275" s="36"/>
    </x:row>
    <x:row r="276">
      <x:c r="A276" s="36"/>
      <x:c r="B276" s="36"/>
      <x:c r="C276" s="58"/>
      <x:c r="D276" s="36"/>
      <x:c r="E276" s="36"/>
      <x:c r="F276" s="36"/>
      <x:c r="G276" s="36"/>
      <x:c r="H276" s="36"/>
      <x:c r="I276" s="36"/>
    </x:row>
    <x:row r="277">
      <x:c r="A277" s="36"/>
      <x:c r="B277" s="36"/>
      <x:c r="C277" s="58"/>
      <x:c r="D277" s="36"/>
      <x:c r="E277" s="36"/>
      <x:c r="F277" s="36"/>
      <x:c r="G277" s="36"/>
      <x:c r="H277" s="36"/>
      <x:c r="I277" s="36"/>
    </x:row>
    <x:row r="278">
      <x:c r="A278" s="36"/>
      <x:c r="B278" s="36"/>
      <x:c r="C278" s="58"/>
      <x:c r="D278" s="36"/>
      <x:c r="E278" s="36"/>
      <x:c r="F278" s="36"/>
      <x:c r="G278" s="36"/>
      <x:c r="H278" s="36"/>
      <x:c r="I278" s="36"/>
    </x:row>
    <x:row r="279">
      <x:c r="A279" s="36"/>
      <x:c r="B279" s="36"/>
      <x:c r="C279" s="58"/>
      <x:c r="D279" s="36"/>
      <x:c r="E279" s="36"/>
      <x:c r="F279" s="36"/>
      <x:c r="G279" s="36"/>
      <x:c r="H279" s="36"/>
      <x:c r="I279" s="36"/>
    </x:row>
    <x:row r="280">
      <x:c r="A280" s="36"/>
      <x:c r="B280" s="36"/>
      <x:c r="C280" s="58"/>
      <x:c r="D280" s="36"/>
      <x:c r="E280" s="36"/>
      <x:c r="F280" s="36"/>
      <x:c r="G280" s="36"/>
      <x:c r="H280" s="36"/>
      <x:c r="I280" s="36"/>
    </x:row>
    <x:row r="281">
      <x:c r="A281" s="36"/>
      <x:c r="B281" s="36"/>
      <x:c r="C281" s="58"/>
      <x:c r="D281" s="36"/>
      <x:c r="E281" s="36"/>
      <x:c r="F281" s="36"/>
      <x:c r="G281" s="36"/>
      <x:c r="H281" s="36"/>
      <x:c r="I281" s="36"/>
    </x:row>
    <x:row r="282">
      <x:c r="A282" s="36"/>
      <x:c r="B282" s="36"/>
      <x:c r="C282" s="58"/>
      <x:c r="D282" s="36"/>
      <x:c r="E282" s="36"/>
      <x:c r="F282" s="36"/>
      <x:c r="G282" s="36"/>
      <x:c r="H282" s="36"/>
      <x:c r="I282" s="36"/>
    </x:row>
    <x:row r="283">
      <x:c r="A283" s="36"/>
      <x:c r="B283" s="36"/>
      <x:c r="C283" s="58"/>
      <x:c r="D283" s="36"/>
      <x:c r="E283" s="36"/>
      <x:c r="F283" s="36"/>
      <x:c r="G283" s="36"/>
      <x:c r="H283" s="36"/>
      <x:c r="I283" s="36"/>
    </x:row>
    <x:row r="284">
      <x:c r="A284" s="36"/>
      <x:c r="B284" s="36"/>
      <x:c r="C284" s="58"/>
      <x:c r="D284" s="36"/>
      <x:c r="E284" s="36"/>
      <x:c r="F284" s="36"/>
      <x:c r="G284" s="36"/>
      <x:c r="H284" s="36"/>
      <x:c r="I284" s="36"/>
    </x:row>
    <x:row r="285">
      <x:c r="A285" s="36"/>
      <x:c r="B285" s="36"/>
      <x:c r="C285" s="58"/>
      <x:c r="D285" s="36"/>
      <x:c r="E285" s="36"/>
      <x:c r="F285" s="36"/>
      <x:c r="G285" s="36"/>
      <x:c r="H285" s="36"/>
      <x:c r="I285" s="36"/>
    </x:row>
    <x:row r="286">
      <x:c r="A286" s="36"/>
      <x:c r="B286" s="36"/>
      <x:c r="C286" s="58"/>
      <x:c r="D286" s="36"/>
      <x:c r="E286" s="36"/>
      <x:c r="F286" s="36"/>
      <x:c r="G286" s="36"/>
      <x:c r="H286" s="36"/>
      <x:c r="I286" s="36"/>
    </x:row>
    <x:row r="287">
      <x:c r="A287" s="36"/>
      <x:c r="B287" s="36"/>
      <x:c r="C287" s="58"/>
      <x:c r="D287" s="36"/>
      <x:c r="E287" s="36"/>
      <x:c r="F287" s="36"/>
      <x:c r="G287" s="36"/>
      <x:c r="H287" s="36"/>
      <x:c r="I287" s="36"/>
    </x:row>
    <x:row r="288">
      <x:c r="A288" s="36"/>
      <x:c r="B288" s="36"/>
      <x:c r="C288" s="58"/>
      <x:c r="D288" s="36"/>
      <x:c r="E288" s="36"/>
      <x:c r="F288" s="36"/>
      <x:c r="G288" s="36"/>
      <x:c r="H288" s="36"/>
      <x:c r="I288" s="36"/>
    </x:row>
    <x:row r="289">
      <x:c r="A289" s="36"/>
      <x:c r="B289" s="36"/>
      <x:c r="C289" s="58"/>
      <x:c r="D289" s="36"/>
      <x:c r="E289" s="36"/>
      <x:c r="F289" s="36"/>
      <x:c r="G289" s="36"/>
      <x:c r="H289" s="36"/>
      <x:c r="I289" s="36"/>
    </x:row>
    <x:row r="290">
      <x:c r="A290" s="36"/>
      <x:c r="B290" s="36"/>
      <x:c r="C290" s="58"/>
      <x:c r="D290" s="36"/>
      <x:c r="E290" s="36"/>
      <x:c r="F290" s="36"/>
      <x:c r="G290" s="36"/>
      <x:c r="H290" s="36"/>
      <x:c r="I290" s="36"/>
    </x:row>
    <x:row r="291">
      <x:c r="A291" s="36"/>
      <x:c r="B291" s="36"/>
      <x:c r="C291" s="58"/>
      <x:c r="D291" s="36"/>
      <x:c r="E291" s="36"/>
      <x:c r="F291" s="36"/>
      <x:c r="G291" s="36"/>
      <x:c r="H291" s="36"/>
      <x:c r="I291" s="36"/>
    </x:row>
    <x:row r="292">
      <x:c r="A292" s="36"/>
      <x:c r="B292" s="36"/>
      <x:c r="C292" s="58"/>
      <x:c r="D292" s="36"/>
      <x:c r="E292" s="36"/>
      <x:c r="F292" s="36"/>
      <x:c r="G292" s="36"/>
      <x:c r="H292" s="36"/>
      <x:c r="I292" s="36"/>
    </x:row>
    <x:row r="293">
      <x:c r="A293" s="36"/>
      <x:c r="B293" s="36"/>
      <x:c r="C293" s="58"/>
      <x:c r="D293" s="36"/>
      <x:c r="E293" s="36"/>
      <x:c r="F293" s="36"/>
      <x:c r="G293" s="36"/>
      <x:c r="H293" s="36"/>
      <x:c r="I293" s="36"/>
    </x:row>
    <x:row r="294">
      <x:c r="A294" s="36"/>
      <x:c r="B294" s="36"/>
      <x:c r="C294" s="58"/>
      <x:c r="D294" s="36"/>
      <x:c r="E294" s="36"/>
      <x:c r="F294" s="36"/>
      <x:c r="G294" s="36"/>
      <x:c r="H294" s="36"/>
      <x:c r="I294" s="36"/>
    </x:row>
    <x:row r="295">
      <x:c r="A295" s="36"/>
      <x:c r="B295" s="36"/>
      <x:c r="C295" s="58"/>
      <x:c r="D295" s="36"/>
      <x:c r="E295" s="36"/>
      <x:c r="F295" s="36"/>
      <x:c r="G295" s="36"/>
      <x:c r="H295" s="36"/>
      <x:c r="I295" s="36"/>
    </x:row>
    <x:row r="296">
      <x:c r="A296" s="36"/>
      <x:c r="B296" s="36"/>
      <x:c r="C296" s="58"/>
      <x:c r="D296" s="36"/>
      <x:c r="E296" s="36"/>
      <x:c r="F296" s="36"/>
      <x:c r="G296" s="36"/>
      <x:c r="H296" s="36"/>
      <x:c r="I296" s="36"/>
    </x:row>
    <x:row r="297">
      <x:c r="A297" s="36"/>
      <x:c r="B297" s="36"/>
      <x:c r="C297" s="58"/>
      <x:c r="D297" s="36"/>
      <x:c r="E297" s="36"/>
      <x:c r="F297" s="36"/>
      <x:c r="G297" s="36"/>
      <x:c r="H297" s="36"/>
      <x:c r="I297" s="36"/>
    </x:row>
    <x:row r="298">
      <x:c r="A298" s="36"/>
      <x:c r="B298" s="36"/>
      <x:c r="C298" s="58"/>
      <x:c r="D298" s="36"/>
      <x:c r="E298" s="36"/>
      <x:c r="F298" s="36"/>
      <x:c r="G298" s="36"/>
      <x:c r="H298" s="36"/>
      <x:c r="I298" s="36"/>
    </x:row>
    <x:row r="299">
      <x:c r="A299" s="36"/>
      <x:c r="B299" s="36"/>
      <x:c r="C299" s="58"/>
      <x:c r="D299" s="36"/>
      <x:c r="E299" s="36"/>
      <x:c r="F299" s="36"/>
      <x:c r="G299" s="36"/>
      <x:c r="H299" s="36"/>
      <x:c r="I299" s="36"/>
    </x:row>
    <x:row r="300">
      <x:c r="A300" s="36"/>
      <x:c r="B300" s="36"/>
      <x:c r="C300" s="58"/>
      <x:c r="D300" s="36"/>
      <x:c r="E300" s="36"/>
      <x:c r="F300" s="36"/>
      <x:c r="G300" s="36"/>
      <x:c r="H300" s="36"/>
      <x:c r="I300" s="36"/>
    </x:row>
    <x:row r="301">
      <x:c r="A301" s="36"/>
      <x:c r="B301" s="36"/>
      <x:c r="C301" s="58"/>
      <x:c r="D301" s="36"/>
      <x:c r="E301" s="36"/>
      <x:c r="F301" s="36"/>
      <x:c r="G301" s="36"/>
      <x:c r="H301" s="36"/>
      <x:c r="I301" s="36"/>
    </x:row>
    <x:row r="302">
      <x:c r="A302" s="36"/>
      <x:c r="B302" s="36"/>
      <x:c r="C302" s="58"/>
      <x:c r="D302" s="36"/>
      <x:c r="E302" s="36"/>
      <x:c r="F302" s="36"/>
      <x:c r="G302" s="36"/>
      <x:c r="H302" s="36"/>
      <x:c r="I302" s="36"/>
    </x:row>
    <x:row r="303">
      <x:c r="A303" s="36"/>
      <x:c r="B303" s="36"/>
      <x:c r="C303" s="58"/>
      <x:c r="D303" s="36"/>
      <x:c r="E303" s="36"/>
      <x:c r="F303" s="36"/>
      <x:c r="G303" s="36"/>
      <x:c r="H303" s="36"/>
      <x:c r="I303" s="36"/>
    </x:row>
    <x:row r="304">
      <x:c r="A304" s="36"/>
      <x:c r="B304" s="36"/>
      <x:c r="C304" s="58"/>
      <x:c r="D304" s="36"/>
      <x:c r="E304" s="36"/>
      <x:c r="F304" s="36"/>
      <x:c r="G304" s="36"/>
      <x:c r="H304" s="36"/>
      <x:c r="I304" s="36"/>
    </x:row>
  </x:sheetData>
  <x:mergeCells>
    <x:mergeCell ref="A1:I1"/>
    <x:mergeCell ref="A2:I2"/>
  </x:mergeCells>
  <x:pageMargins left="0.7" right="0.7" top="0.75" bottom="0.75" header="0.3" footer="0.3"/>
  <x:tableParts count="1">
    <x:tablePart xmlns:r="http://schemas.openxmlformats.org/officeDocument/2006/relationships" r:id="Rb9bc05cb4d9c487d"/>
  </x:tableParts>
</x:worksheet>
</file>

<file path=xl/worksheets/sheet6.xml><?xml version="1.0" encoding="utf-8"?>
<x:worksheet xmlns:x="http://schemas.openxmlformats.org/spreadsheetml/2006/main">
  <x:sheetFormatPr defaultRowHeight="15"/>
  <x:cols>
    <x:col min="1" max="1" width="24" hidden="0" customWidth="1"/>
    <x:col min="2" max="2" width="14" hidden="0" customWidth="1"/>
    <x:col min="3" max="3" width="4" hidden="0" customWidth="1"/>
    <x:col min="4" max="4" width="18" hidden="0" customWidth="1"/>
    <x:col min="5" max="5" width="12" hidden="0" customWidth="1"/>
    <x:col min="6" max="6" width="4" hidden="0" customWidth="1"/>
    <x:col min="7" max="7" width="4" hidden="0" customWidth="1"/>
    <x:col min="8" max="8" width="4" hidden="0" customWidth="1"/>
  </x:cols>
  <x:sheetData>
    <x:row r="1" ht="28" customHeight="1">
      <x:c r="A1" s="5" t="str">
        <x:v>HTERP Prospective Registry Dashboard</x:v>
      </x:c>
      <x:c r="B1" s="5"/>
      <x:c r="C1" s="5"/>
      <x:c r="D1" s="5"/>
      <x:c r="E1" s="5"/>
      <x:c r="F1" s="5"/>
      <x:c r="G1" s="5"/>
      <x:c r="H1" s="5"/>
    </x:row>
    <x:row r="3">
      <x:c r="A3" s="30" t="str">
        <x:v>KPI</x:v>
      </x:c>
      <x:c r="B3" s="30" t="str">
        <x:v>Value</x:v>
      </x:c>
      <x:c r="D3" s="30" t="str">
        <x:v>Status</x:v>
      </x:c>
      <x:c r="E3" s="30" t="str">
        <x:v>Count</x:v>
      </x:c>
    </x:row>
    <x:row r="4">
      <x:c r="A4" s="62" t="str">
        <x:v>Total Registered</x:v>
      </x:c>
      <x:c r="B4" s="36" t="n">
        <x:f>COUNTA(Registry!$A$6:$A$205)</x:f>
        <x:v>0</x:v>
      </x:c>
      <x:c r="D4" t="str">
        <x:v>Open</x:v>
      </x:c>
      <x:c r="E4" t="n">
        <x:f>COUNTIF(Registry!$S$6:$S$205,"Open")</x:f>
        <x:v>0</x:v>
      </x:c>
    </x:row>
    <x:row r="5">
      <x:c r="A5" s="62" t="str">
        <x:v>Open</x:v>
      </x:c>
      <x:c r="B5" s="36" t="n">
        <x:f>COUNTIF(Registry!$S$6:$S$205,"Open")</x:f>
        <x:v>0</x:v>
      </x:c>
      <x:c r="D5" t="str">
        <x:v>Resolved Hit</x:v>
      </x:c>
      <x:c r="E5" t="n">
        <x:f>COUNTIF(Registry!$S$6:$S$205,"Resolved Hit")</x:f>
        <x:v>0</x:v>
      </x:c>
    </x:row>
    <x:row r="6">
      <x:c r="A6" s="62" t="str">
        <x:v>Resolved Hits</x:v>
      </x:c>
      <x:c r="B6" s="36" t="n">
        <x:f>COUNTIF(Registry!$S$6:$S$205,"Resolved Hit")</x:f>
        <x:v>0</x:v>
      </x:c>
      <x:c r="D6" t="str">
        <x:v>Resolved Miss</x:v>
      </x:c>
      <x:c r="E6" t="n">
        <x:f>COUNTIF(Registry!$S$6:$S$205,"Resolved Miss")</x:f>
        <x:v>0</x:v>
      </x:c>
    </x:row>
    <x:row r="7">
      <x:c r="A7" s="62" t="str">
        <x:v>Resolved Misses</x:v>
      </x:c>
      <x:c r="B7" s="36" t="n">
        <x:f>COUNTIF(Registry!$S$6:$S$205,"Resolved Miss")</x:f>
        <x:v>0</x:v>
      </x:c>
      <x:c r="D7" t="str">
        <x:v>Void</x:v>
      </x:c>
      <x:c r="E7" t="n">
        <x:f>COUNTIF(Registry!$S$6:$S$205,"Void predefined reason")</x:f>
        <x:v>0</x:v>
      </x:c>
    </x:row>
    <x:row r="8">
      <x:c r="A8" s="62" t="str">
        <x:v>Resolved Total</x:v>
      </x:c>
      <x:c r="B8" s="68" t="n">
        <x:f>B5+B6</x:f>
        <x:v>0</x:v>
      </x:c>
    </x:row>
    <x:row r="9">
      <x:c r="A9" s="62" t="str">
        <x:v>Hit Rate</x:v>
      </x:c>
      <x:c r="B9" s="64" t="str">
        <x:f>IFERROR(B5/B7,"")</x:f>
      </x:c>
    </x:row>
    <x:row r="10">
      <x:c r="A10" s="62" t="str">
        <x:v>Probabilistic Resolved</x:v>
      </x:c>
      <x:c r="B10" s="36" t="n">
        <x:f>COUNT(Registry!$W$6:$W$205)</x:f>
        <x:v>0</x:v>
      </x:c>
      <x:c r="D10" s="30" t="str">
        <x:v>PRED Level</x:v>
      </x:c>
      <x:c r="E10" s="30" t="str">
        <x:v>Count</x:v>
      </x:c>
    </x:row>
    <x:row r="11">
      <x:c r="A11" s="62" t="str">
        <x:v>Mean Brier</x:v>
      </x:c>
      <x:c r="B11" s="66" t="str">
        <x:f>IFERROR(AVERAGE(Registry!$W$6:$W$205),"")</x:f>
      </x:c>
      <x:c r="D11" t="str">
        <x:v>PRED-0</x:v>
      </x:c>
      <x:c r="E11" t="n">
        <x:f>COUNTIF(Registry!$AA$6:$AA$205,D11)</x:f>
        <x:v>0</x:v>
      </x:c>
    </x:row>
    <x:row r="12">
      <x:c r="A12" s="62" t="str">
        <x:v>Mean Benchmark Brier</x:v>
      </x:c>
      <x:c r="B12" s="66" t="str">
        <x:f>IFERROR(AVERAGE(Registry!$Y$6:$Y$205),"")</x:f>
      </x:c>
      <x:c r="D12" t="str">
        <x:v>PRED-1</x:v>
      </x:c>
      <x:c r="E12" t="n">
        <x:f>COUNTIF(Registry!$AA$6:$AA$205,D12)</x:f>
        <x:v>0</x:v>
      </x:c>
    </x:row>
    <x:row r="13">
      <x:c r="A13" s="62" t="str">
        <x:v>Mean Brier Improvement</x:v>
      </x:c>
      <x:c r="B13" s="66" t="str">
        <x:f>IFERROR(AVERAGE(Registry!$Z$6:$Z$205),"")</x:f>
      </x:c>
      <x:c r="D13" t="str">
        <x:v>PRED-2</x:v>
      </x:c>
      <x:c r="E13" t="n">
        <x:f>COUNTIF(Registry!$AA$6:$AA$205,D13)</x:f>
        <x:v>0</x:v>
      </x:c>
    </x:row>
    <x:row r="14">
      <x:c r="A14" s="62" t="str">
        <x:v>PRED-3 / PRED-4</x:v>
      </x:c>
      <x:c r="B14" s="36" t="n">
        <x:f>COUNTIF(Registry!$AA$6:$AA$205,"PRED-3")+COUNTIF(Registry!$AA$6:$AA$205,"PRED-4")</x:f>
        <x:v>0</x:v>
      </x:c>
      <x:c r="D14" t="str">
        <x:v>PRED-3</x:v>
      </x:c>
      <x:c r="E14" t="n">
        <x:f>COUNTIF(Registry!$AA$6:$AA$205,D14)</x:f>
        <x:v>0</x:v>
      </x:c>
    </x:row>
    <x:row r="15">
      <x:c r="A15" s="62" t="str">
        <x:v>Overdue Open</x:v>
      </x:c>
      <x:c r="B15" s="36" t="n">
        <x:f>COUNTIF(Registry!$AC$6:$AC$205,"OVERDUE")</x:f>
        <x:v>0</x:v>
      </x:c>
      <x:c r="D15" t="str">
        <x:v>PRED-4</x:v>
      </x:c>
      <x:c r="E15" t="n">
        <x:f>COUNTIF(Registry!$AA$6:$AA$205,D15)</x:f>
        <x:v>0</x:v>
      </x:c>
    </x:row>
    <x:row r="16">
      <x:c r="A16" s="62" t="str">
        <x:v>Due ≤30 days</x:v>
      </x:c>
      <x:c r="B16" s="36" t="n">
        <x:f>COUNTIF(Registry!$AC$6:$AC$205,"Due ≤30d")</x:f>
        <x:v>0</x:v>
      </x:c>
    </x:row>
    <x:row r="19">
      <x:c r="A19" s="30" t="str">
        <x:v>Target Domain</x:v>
      </x:c>
      <x:c r="B19" s="30" t="str">
        <x:v>Count</x:v>
      </x:c>
    </x:row>
    <x:row r="20">
      <x:c r="A20" t="str">
        <x:v>Politics / Elections</x:v>
      </x:c>
      <x:c r="B20" t="n">
        <x:f>COUNTIF(Registry!$J$6:$J$205,A20)</x:f>
        <x:v>0</x:v>
      </x:c>
    </x:row>
    <x:row r="21">
      <x:c r="A21" t="str">
        <x:v>Economy / Markets</x:v>
      </x:c>
      <x:c r="B21" t="n">
        <x:f>COUNTIF(Registry!$J$6:$J$205,A21)</x:f>
        <x:v>0</x:v>
      </x:c>
    </x:row>
    <x:row r="22">
      <x:c r="A22" t="str">
        <x:v>Weather / Geophysical</x:v>
      </x:c>
      <x:c r="B22" t="n">
        <x:f>COUNTIF(Registry!$J$6:$J$205,A22)</x:f>
        <x:v>0</x:v>
      </x:c>
    </x:row>
    <x:row r="23">
      <x:c r="A23" t="str">
        <x:v>Conflict / Geopolitics</x:v>
      </x:c>
      <x:c r="B23" t="n">
        <x:f>COUNTIF(Registry!$J$6:$J$205,A23)</x:f>
        <x:v>0</x:v>
      </x:c>
    </x:row>
    <x:row r="24">
      <x:c r="A24" t="str">
        <x:v>Public Health</x:v>
      </x:c>
      <x:c r="B24" t="n">
        <x:f>COUNTIF(Registry!$J$6:$J$205,A24)</x:f>
        <x:v>0</x:v>
      </x:c>
    </x:row>
    <x:row r="25">
      <x:c r="A25" t="str">
        <x:v>Technology</x:v>
      </x:c>
      <x:c r="B25" t="n">
        <x:f>COUNTIF(Registry!$J$6:$J$205,A25)</x:f>
        <x:v>0</x:v>
      </x:c>
    </x:row>
    <x:row r="26">
      <x:c r="A26" t="str">
        <x:v>Religion / Community</x:v>
      </x:c>
      <x:c r="B26" t="n">
        <x:f>COUNTIF(Registry!$J$6:$J$205,A26)</x:f>
        <x:v>0</x:v>
      </x:c>
    </x:row>
    <x:row r="27">
      <x:c r="A27" t="str">
        <x:v>Personal / Private</x:v>
      </x:c>
      <x:c r="B27" t="n">
        <x:f>COUNTIF(Registry!$J$6:$J$205,A27)</x:f>
        <x:v>0</x:v>
      </x:c>
    </x:row>
    <x:row r="28">
      <x:c r="A28" t="str">
        <x:v>Sports</x:v>
      </x:c>
      <x:c r="B28" t="n">
        <x:f>COUNTIF(Registry!$J$6:$J$205,A28)</x:f>
        <x:v>0</x:v>
      </x:c>
    </x:row>
    <x:row r="29">
      <x:c r="A29" t="str">
        <x:v>Other</x:v>
      </x:c>
      <x:c r="B29" t="n">
        <x:f>COUNTIF(Registry!$J$6:$J$205,A29)</x:f>
        <x:v>0</x:v>
      </x:c>
    </x:row>
  </x:sheetData>
  <x:mergeCells>
    <x:mergeCell ref="A1:H1"/>
  </x:mergeCells>
  <x:pageMargins left="0.7" right="0.7" top="0.75" bottom="0.75" header="0.3" footer="0.3"/>
  <x:drawing xmlns:r="http://schemas.openxmlformats.org/officeDocument/2006/relationships" r:id="R5fa7359ed96c45fc"/>
</x:worksheet>
</file>

<file path=xl/worksheets/sheet7.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5" t="str">
        <x:v>HTERP Prediction Resolution &amp; Scoring Guide</x:v>
      </x:c>
      <x:c r="B1" s="5"/>
      <x:c r="C1" s="5"/>
      <x:c r="D1" s="5"/>
      <x:c r="E1" s="5"/>
      <x:c r="F1" s="5"/>
      <x:c r="G1" s="5"/>
      <x:c r="H1" s="5"/>
    </x:row>
    <x:row r="3">
      <x:c r="A3" s="13" t="str">
        <x:v>Resolution discipline</x:v>
      </x:c>
      <x:c r="B3" s="13"/>
      <x:c r="C3" s="13"/>
      <x:c r="D3" s="13"/>
      <x:c r="E3" s="13"/>
      <x:c r="F3" s="13"/>
      <x:c r="G3" s="13"/>
      <x:c r="H3" s="13"/>
    </x:row>
    <x:row r="4">
      <x:c r="A4" s="21" t="str">
        <x:v>Resolve only against the success/failure criteria and resolution source chosen before the outcome. Do not widen geography, extend deadlines, reinterpret literal wording as metaphor, or count partial fulfillment unless the original criteria allowed it.</x:v>
      </x:c>
      <x:c r="B4" s="21"/>
      <x:c r="C4" s="21"/>
      <x:c r="D4" s="21"/>
      <x:c r="E4" s="21"/>
      <x:c r="F4" s="21"/>
      <x:c r="G4" s="21"/>
      <x:c r="H4" s="21"/>
    </x:row>
    <x:row r="5">
      <x:c r="A5" s="21"/>
      <x:c r="B5" s="21"/>
      <x:c r="C5" s="21"/>
      <x:c r="D5" s="21"/>
      <x:c r="E5" s="21"/>
      <x:c r="F5" s="21"/>
      <x:c r="G5" s="21"/>
      <x:c r="H5" s="21"/>
    </x:row>
    <x:row r="7">
      <x:c r="A7" s="13" t="str">
        <x:v>Brier Score</x:v>
      </x:c>
      <x:c r="B7" s="13"/>
      <x:c r="C7" s="13"/>
      <x:c r="D7" s="13"/>
      <x:c r="E7" s="13"/>
      <x:c r="F7" s="13"/>
      <x:c r="G7" s="13"/>
      <x:c r="H7" s="13"/>
    </x:row>
    <x:row r="8">
      <x:c r="A8" s="21" t="str">
        <x:v>For binary outcomes, Brier Score = (forecast probability − outcome)^2. Outcome is 1 for a resolved hit and 0 for a resolved miss. Lower is better. A perfectly calibrated certain forecast scores 0 when correct and 1 when wrong.</x:v>
      </x:c>
      <x:c r="B8" s="21"/>
      <x:c r="C8" s="21"/>
      <x:c r="D8" s="21"/>
      <x:c r="E8" s="21"/>
      <x:c r="F8" s="21"/>
      <x:c r="G8" s="21"/>
      <x:c r="H8" s="21"/>
    </x:row>
    <x:row r="9">
      <x:c r="A9" s="21"/>
      <x:c r="B9" s="21"/>
      <x:c r="C9" s="21"/>
      <x:c r="D9" s="21"/>
      <x:c r="E9" s="21"/>
      <x:c r="F9" s="21"/>
      <x:c r="G9" s="21"/>
      <x:c r="H9" s="21"/>
    </x:row>
    <x:row r="11">
      <x:c r="A11" s="13" t="str">
        <x:v>Benchmark comparison</x:v>
      </x:c>
      <x:c r="B11" s="13"/>
      <x:c r="C11" s="13"/>
      <x:c r="D11" s="13"/>
      <x:c r="E11" s="13"/>
      <x:c r="F11" s="13"/>
      <x:c r="G11" s="13"/>
      <x:c r="H11" s="13"/>
    </x:row>
    <x:row r="12">
      <x:c r="A12" s="21" t="str">
        <x:v>Enter a benchmark probability that was available or defensible at registration time. The workbook computes Benchmark Brier and Brier Improvement = Benchmark Brier − Claimant Brier. Positive improvement means the claimant outperformed that benchmark on the resolved item.</x:v>
      </x:c>
      <x:c r="B12" s="21"/>
      <x:c r="C12" s="21"/>
      <x:c r="D12" s="21"/>
      <x:c r="E12" s="21"/>
      <x:c r="F12" s="21"/>
      <x:c r="G12" s="21"/>
      <x:c r="H12" s="21"/>
    </x:row>
    <x:row r="13">
      <x:c r="A13" s="21"/>
      <x:c r="B13" s="21"/>
      <x:c r="C13" s="21"/>
      <x:c r="D13" s="21"/>
      <x:c r="E13" s="21"/>
      <x:c r="F13" s="21"/>
      <x:c r="G13" s="21"/>
      <x:c r="H13" s="21"/>
    </x:row>
    <x:row r="15">
      <x:c r="A15" s="13" t="str">
        <x:v>Void rules</x:v>
      </x:c>
      <x:c r="B15" s="13"/>
      <x:c r="C15" s="13"/>
      <x:c r="D15" s="13"/>
      <x:c r="E15" s="13"/>
      <x:c r="F15" s="13"/>
      <x:c r="G15" s="13"/>
      <x:c r="H15" s="13"/>
    </x:row>
    <x:row r="16">
      <x:c r="A16" s="21" t="str">
        <x:v>Void only for a predefined condition such as a resolution source becoming unavailable or the target event becoming undefined. A failed prediction is not void merely because the claimant later explains it differently.</x:v>
      </x:c>
      <x:c r="B16" s="21"/>
      <x:c r="C16" s="21"/>
      <x:c r="D16" s="21"/>
      <x:c r="E16" s="21"/>
      <x:c r="F16" s="21"/>
      <x:c r="G16" s="21"/>
      <x:c r="H16" s="21"/>
    </x:row>
    <x:row r="17">
      <x:c r="A17" s="21"/>
      <x:c r="B17" s="21"/>
      <x:c r="C17" s="21"/>
      <x:c r="D17" s="21"/>
      <x:c r="E17" s="21"/>
      <x:c r="F17" s="21"/>
      <x:c r="G17" s="21"/>
      <x:c r="H17" s="21"/>
    </x:row>
    <x:row r="19">
      <x:c r="A19" s="13" t="str">
        <x:v>Versioning</x:v>
      </x:c>
      <x:c r="B19" s="13"/>
      <x:c r="C19" s="13"/>
      <x:c r="D19" s="13"/>
      <x:c r="E19" s="13"/>
      <x:c r="F19" s="13"/>
      <x:c r="G19" s="13"/>
      <x:c r="H19" s="13"/>
    </x:row>
    <x:row r="20">
      <x:c r="A20" s="21" t="str">
        <x:v>If a prediction must be clarified after registration but before resolution, keep the original row. Create a new Prediction ID/version, link Original Prediction ID, and record the change in Audit Log.</x:v>
      </x:c>
      <x:c r="B20" s="21"/>
      <x:c r="C20" s="21"/>
      <x:c r="D20" s="21"/>
      <x:c r="E20" s="21"/>
      <x:c r="F20" s="21"/>
      <x:c r="G20" s="21"/>
      <x:c r="H20" s="21"/>
    </x:row>
    <x:row r="21">
      <x:c r="A21" s="21"/>
      <x:c r="B21" s="21"/>
      <x:c r="C21" s="21"/>
      <x:c r="D21" s="21"/>
      <x:c r="E21" s="21"/>
      <x:c r="F21" s="21"/>
      <x:c r="G21" s="21"/>
      <x:c r="H21" s="21"/>
    </x:row>
    <x:row r="23">
      <x:c r="A23" s="13" t="str">
        <x:v>Example</x:v>
      </x:c>
      <x:c r="B23" s="13"/>
      <x:c r="C23" s="13"/>
      <x:c r="D23" s="13"/>
      <x:c r="E23" s="13"/>
      <x:c r="F23" s="13"/>
      <x:c r="G23" s="13"/>
      <x:c r="H23" s="13"/>
    </x:row>
    <x:row r="24">
      <x:c r="A24" s="36" t="str">
        <x:v>Prediction: “There is a 70% probability that Event X will occur before 2027-03-31 under criterion Y.”</x:v>
      </x:c>
      <x:c r="B24" s="36"/>
      <x:c r="C24" s="36"/>
      <x:c r="D24" s="36"/>
      <x:c r="E24" s="36"/>
      <x:c r="F24" s="36"/>
      <x:c r="G24" s="36"/>
      <x:c r="H24" s="36"/>
    </x:row>
    <x:row r="25">
      <x:c r="A25" s="36" t="str">
        <x:v>If Event X occurs exactly under criterion Y: outcome = 1; Brier = (0.70−1)^2 = 0.09.</x:v>
      </x:c>
      <x:c r="B25" s="36"/>
      <x:c r="C25" s="36"/>
      <x:c r="D25" s="36"/>
      <x:c r="E25" s="36"/>
      <x:c r="F25" s="36"/>
      <x:c r="G25" s="36"/>
      <x:c r="H25" s="36"/>
    </x:row>
    <x:row r="26">
      <x:c r="A26" s="36" t="str">
        <x:v>If Event X does not occur: outcome = 0; Brier = (0.70−0)^2 = 0.49.</x:v>
      </x:c>
      <x:c r="B26" s="36"/>
      <x:c r="C26" s="36"/>
      <x:c r="D26" s="36"/>
      <x:c r="E26" s="36"/>
      <x:c r="F26" s="36"/>
      <x:c r="G26" s="36"/>
      <x:c r="H26" s="36"/>
    </x:row>
    <x:row r="27">
      <x:c r="A27" s="36" t="str">
        <x:v>The same prediction must not be rewritten after March 31 to mean a different event or deadline.</x:v>
      </x:c>
      <x:c r="B27" s="36"/>
      <x:c r="C27" s="36"/>
      <x:c r="D27" s="36"/>
      <x:c r="E27" s="36"/>
      <x:c r="F27" s="36"/>
      <x:c r="G27" s="36"/>
      <x:c r="H27" s="36"/>
    </x:row>
    <x:row r="28">
      <x:c r="A28" s="36" t="str">
        <x:v>A single hit or miss is weak evidence; repeated calibrated performance against benchmarks is what matters.</x:v>
      </x:c>
      <x:c r="B28" s="36"/>
      <x:c r="C28" s="36"/>
      <x:c r="D28" s="36"/>
      <x:c r="E28" s="36"/>
      <x:c r="F28" s="36"/>
      <x:c r="G28" s="36"/>
      <x:c r="H28" s="36"/>
    </x:row>
  </x:sheetData>
  <x:mergeCells>
    <x:mergeCell ref="A1:H1"/>
    <x:mergeCell ref="A3:H3"/>
    <x:mergeCell ref="A4:H5"/>
    <x:mergeCell ref="A7:H7"/>
    <x:mergeCell ref="A8:H9"/>
    <x:mergeCell ref="A11:H11"/>
    <x:mergeCell ref="A12:H13"/>
    <x:mergeCell ref="A15:H15"/>
    <x:mergeCell ref="A16:H17"/>
    <x:mergeCell ref="A19:H19"/>
    <x:mergeCell ref="A20:H21"/>
    <x:mergeCell ref="A23:H23"/>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70" hidden="0" customWidth="1"/>
    <x:col min="4" max="4" width="18" hidden="0" customWidth="1"/>
    <x:col min="5" max="5" width="18" hidden="0" customWidth="1"/>
    <x:col min="6" max="6" width="18" hidden="0" customWidth="1"/>
    <x:col min="7" max="7" width="18" hidden="0" customWidth="1"/>
    <x:col min="8" max="8" width="18" hidden="0" customWidth="1"/>
  </x:cols>
  <x:sheetData>
    <x:row r="1">
      <x:c r="A1" s="5" t="str">
        <x:v>Worked Example — Not Part of Official Registry</x:v>
      </x:c>
      <x:c r="B1" s="5"/>
      <x:c r="C1" s="5"/>
      <x:c r="D1" s="5"/>
      <x:c r="E1" s="5"/>
      <x:c r="F1" s="5"/>
      <x:c r="G1" s="5"/>
      <x:c r="H1" s="5"/>
    </x:row>
    <x:row r="2">
      <x:c r="A2" s="43" t="str">
        <x:v>This example demonstrates registration, probability scoring, and resolution. Do not copy the example into the Registry as a real prediction.</x:v>
      </x:c>
      <x:c r="B2" s="43"/>
      <x:c r="C2" s="43"/>
      <x:c r="D2" s="43"/>
      <x:c r="E2" s="43"/>
      <x:c r="F2" s="43"/>
      <x:c r="G2" s="43"/>
      <x:c r="H2" s="43"/>
    </x:row>
    <x:row r="4">
      <x:c r="A4" s="30" t="str">
        <x:v>Field</x:v>
      </x:c>
      <x:c r="B4" s="30" t="str">
        <x:v>Example value</x:v>
      </x:c>
      <x:c r="D4" s="13" t="str">
        <x:v>Archive workflow</x:v>
      </x:c>
      <x:c r="E4" s="13"/>
      <x:c r="F4" s="13"/>
      <x:c r="G4" s="13"/>
      <x:c r="H4" s="13"/>
    </x:row>
    <x:row r="5">
      <x:c r="A5" s="36" t="str">
        <x:v>Prediction ID</x:v>
      </x:c>
      <x:c r="B5" s="36" t="str">
        <x:v>EXAMPLE-0001</x:v>
      </x:c>
      <x:c r="D5" s="21" t="str">
        <x:v>1. Write the final exact wording before the outcome is known.</x:v>
      </x:c>
      <x:c r="E5" s="21"/>
      <x:c r="F5" s="21"/>
      <x:c r="G5" s="21"/>
      <x:c r="H5" s="21"/>
    </x:row>
    <x:row r="6">
      <x:c r="A6" s="36" t="str">
        <x:v>Version</x:v>
      </x:c>
      <x:c r="B6" s="36" t="str">
        <x:v>1</x:v>
      </x:c>
      <x:c r="D6" s="21" t="str">
        <x:v>2. Save the prediction text in a stable file or other immutable record.</x:v>
      </x:c>
      <x:c r="E6" s="21"/>
      <x:c r="F6" s="21"/>
      <x:c r="G6" s="21"/>
      <x:c r="H6" s="21"/>
    </x:row>
    <x:row r="7">
      <x:c r="A7" s="36" t="str">
        <x:v>Claimant ID</x:v>
      </x:c>
      <x:c r="B7" s="36" t="str">
        <x:v>EXAMPLE</x:v>
      </x:c>
      <x:c r="D7" s="21" t="str">
        <x:v>3. Generate a SHA-256 hash (for example, on Linux: sha256sum prediction.txt).</x:v>
      </x:c>
      <x:c r="E7" s="21"/>
      <x:c r="F7" s="21"/>
      <x:c r="G7" s="21"/>
      <x:c r="H7" s="21"/>
    </x:row>
    <x:row r="8">
      <x:c r="A8" s="36" t="str">
        <x:v>Registration Timestamp</x:v>
      </x:c>
      <x:c r="B8" s="36" t="str">
        <x:v>2026-09-19 00:00</x:v>
      </x:c>
      <x:c r="D8" s="21" t="str">
        <x:v>4. Store the hash and an archive/location reference in the Registry.</x:v>
      </x:c>
      <x:c r="E8" s="21"/>
      <x:c r="F8" s="21"/>
      <x:c r="G8" s="21"/>
      <x:c r="H8" s="21"/>
    </x:row>
    <x:row r="9">
      <x:c r="A9" s="36" t="str">
        <x:v>Exact Wording</x:v>
      </x:c>
      <x:c r="B9" s="36" t="str">
        <x:v>There is a 70% probability that Event X will occur before 2027-03-31 under criterion Y.</x:v>
      </x:c>
      <x:c r="D9" s="21" t="str">
        <x:v>5. If wording changes, keep the original and create Version 2 with a new timestamp and Audit Log entry.</x:v>
      </x:c>
      <x:c r="E9" s="21"/>
      <x:c r="F9" s="21"/>
      <x:c r="G9" s="21"/>
      <x:c r="H9" s="21"/>
    </x:row>
    <x:row r="10">
      <x:c r="A10" s="36" t="str">
        <x:v>Probability</x:v>
      </x:c>
      <x:c r="B10" s="36" t="str">
        <x:v>70%</x:v>
      </x:c>
      <x:c r="D10" s="21" t="str">
        <x:v>6. Never change success/failure criteria after seeing the outcome.</x:v>
      </x:c>
      <x:c r="E10" s="21"/>
      <x:c r="F10" s="21"/>
      <x:c r="G10" s="21"/>
      <x:c r="H10" s="21"/>
    </x:row>
    <x:row r="11">
      <x:c r="A11" s="36" t="str">
        <x:v>Target Domain</x:v>
      </x:c>
      <x:c r="B11" s="36" t="str">
        <x:v>Other</x:v>
      </x:c>
    </x:row>
    <x:row r="12">
      <x:c r="A12" s="36" t="str">
        <x:v>Start Date</x:v>
      </x:c>
      <x:c r="B12" s="36" t="str">
        <x:v>2026-09-19</x:v>
      </x:c>
    </x:row>
    <x:row r="13">
      <x:c r="A13" s="36" t="str">
        <x:v>Deadline</x:v>
      </x:c>
      <x:c r="B13" s="36" t="str">
        <x:v>2027-03-31</x:v>
      </x:c>
    </x:row>
    <x:row r="14">
      <x:c r="A14" s="36" t="str">
        <x:v>Success Criterion</x:v>
      </x:c>
      <x:c r="B14" s="36" t="str">
        <x:v>Event X occurs exactly under criterion Y before or on the deadline.</x:v>
      </x:c>
    </x:row>
    <x:row r="15">
      <x:c r="A15" s="36" t="str">
        <x:v>Failure Criterion</x:v>
      </x:c>
      <x:c r="B15" s="36" t="str">
        <x:v>Event X does not occur under criterion Y by the deadline.</x:v>
      </x:c>
    </x:row>
    <x:row r="16">
      <x:c r="A16" s="36" t="str">
        <x:v>Resolution Source</x:v>
      </x:c>
      <x:c r="B16" s="36" t="str">
        <x:v>Named authoritative source selected before outcome.</x:v>
      </x:c>
    </x:row>
    <x:row r="17">
      <x:c r="A17" s="36" t="str">
        <x:v>Immutable Hash / Archive Ref</x:v>
      </x:c>
      <x:c r="B17" s="36" t="str">
        <x:v>sha256:… / archive reference</x:v>
      </x:c>
    </x:row>
    <x:row r="18">
      <x:c r="A18" s="36" t="str">
        <x:v>Status after success</x:v>
      </x:c>
      <x:c r="B18" s="36" t="str">
        <x:v>Resolved Hit</x:v>
      </x:c>
    </x:row>
    <x:row r="19">
      <x:c r="A19" s="36" t="str">
        <x:v>Outcome Numeric</x:v>
      </x:c>
      <x:c r="B19" s="36" t="str">
        <x:v>1</x:v>
      </x:c>
    </x:row>
    <x:row r="20">
      <x:c r="A20" s="36" t="str">
        <x:v>Brier Score</x:v>
      </x:c>
      <x:c r="B20" s="36" t="str">
        <x:v>(0.70 − 1)^2 = 0.09</x:v>
      </x:c>
    </x:row>
    <x:row r="21">
      <x:c r="A21" s="36" t="str">
        <x:v>If instead it misses</x:v>
      </x:c>
      <x:c r="B21" s="36" t="str">
        <x:v>Brier Score = (0.70 − 0)^2 = 0.49</x:v>
      </x:c>
    </x:row>
  </x:sheetData>
  <x:mergeCells>
    <x:mergeCell ref="A1:H1"/>
    <x:mergeCell ref="A2:H2"/>
    <x:mergeCell ref="D4:H4"/>
    <x:mergeCell ref="D5:H5"/>
    <x:mergeCell ref="D6:H6"/>
    <x:mergeCell ref="D7:H7"/>
    <x:mergeCell ref="D8:H8"/>
    <x:mergeCell ref="D9:H9"/>
    <x:mergeCell ref="D10:H10"/>
  </x:mergeCells>
  <x:pageMargins left="0.7" right="0.7" top="0.75" bottom="0.75" header="0.3" footer="0.3"/>
</x:worksheet>
</file>