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ddd09809a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 Constants" sheetId="1" r:id="R70e86498f0784364"/>
    <x:sheet xmlns:r="http://schemas.openxmlformats.org/officeDocument/2006/relationships" name="Record Series" sheetId="2" r:id="R399cc86cacce4be9"/>
    <x:sheet xmlns:r="http://schemas.openxmlformats.org/officeDocument/2006/relationships" name="Adoption Register" sheetId="3" r:id="R7ecb948af6444295"/>
    <x:sheet xmlns:r="http://schemas.openxmlformats.org/officeDocument/2006/relationships" name="Adoption Matrix" sheetId="4" r:id="R0b8cbbea7518419c"/>
    <x:sheet xmlns:r="http://schemas.openxmlformats.org/officeDocument/2006/relationships" name="Placeholder Register" sheetId="5" r:id="R74e088f255a5466a"/>
    <x:sheet xmlns:r="http://schemas.openxmlformats.org/officeDocument/2006/relationships" name="Repository Manifest" sheetId="6" r:id="R027e57163d2c4d4f"/>
    <x:sheet xmlns:r="http://schemas.openxmlformats.org/officeDocument/2006/relationships" name="Corpus Migration Map" sheetId="7" r:id="R7c05b5d1b90e4920"/>
    <x:sheet xmlns:r="http://schemas.openxmlformats.org/officeDocument/2006/relationships" name="Dashboard" sheetId="8" r:id="R0fec33e8d829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e820340de4e4b" /><Relationship Type="http://schemas.openxmlformats.org/officeDocument/2006/relationships/theme" Target="/xl/theme/theme1.xml" Id="R186092fef3ae44c7" /><Relationship Type="http://schemas.openxmlformats.org/officeDocument/2006/relationships/sharedStrings" Target="/xl/sharedStrings.xml" Id="R491870f5a1a848a3" /><Relationship Type="http://schemas.openxmlformats.org/officeDocument/2006/relationships/worksheet" Target="/xl/worksheets/sheet1.xml" Id="R70e86498f0784364" /><Relationship Type="http://schemas.openxmlformats.org/officeDocument/2006/relationships/worksheet" Target="/xl/worksheets/sheet2.xml" Id="R399cc86cacce4be9" /><Relationship Type="http://schemas.openxmlformats.org/officeDocument/2006/relationships/worksheet" Target="/xl/worksheets/sheet3.xml" Id="R7ecb948af6444295" /><Relationship Type="http://schemas.openxmlformats.org/officeDocument/2006/relationships/worksheet" Target="/xl/worksheets/sheet4.xml" Id="R0b8cbbea7518419c" /><Relationship Type="http://schemas.openxmlformats.org/officeDocument/2006/relationships/worksheet" Target="/xl/worksheets/sheet5.xml" Id="R74e088f255a5466a" /><Relationship Type="http://schemas.openxmlformats.org/officeDocument/2006/relationships/worksheet" Target="/xl/worksheets/sheet6.xml" Id="R027e57163d2c4d4f" /><Relationship Type="http://schemas.openxmlformats.org/officeDocument/2006/relationships/worksheet" Target="/xl/worksheets/sheet7.xml" Id="R7c05b5d1b90e4920" /><Relationship Type="http://schemas.openxmlformats.org/officeDocument/2006/relationships/worksheet" Target="/xl/worksheets/sheet8.xml" Id="R0fec33e8d82943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0" hidden="0" customWidth="1"/>
    <x:col min="6" max="6" width="30" hidden="0" customWidth="1"/>
    <x:col min="7" max="7" width="22" hidden="0" customWidth="1"/>
    <x:col min="8" max="8" width="34" hidden="0" customWidth="1"/>
  </x:cols>
  <x:sheetData>
    <x:row r="1">
      <x:c r="A1" s="4" t="str">
        <x:v>ORG-CONST-001 — Organization Constants Control Register</x:v>
      </x:c>
      <x:c r="B1" s="4"/>
      <x:c r="C1" s="4"/>
      <x:c r="D1" s="4"/>
      <x:c r="E1" s="4"/>
      <x:c r="F1" s="4"/>
      <x:c r="G1" s="4"/>
      <x:c r="H1" s="4"/>
    </x:row>
    <x:row r="2">
      <x:c r="A2" s="12" t="str">
        <x:v>Key</x:v>
      </x:c>
      <x:c r="B2" s="12" t="str">
        <x:v>Value</x:v>
      </x:c>
      <x:c r="C2" s="12" t="str">
        <x:v>Status</x:v>
      </x:c>
      <x:c r="D2" s="12" t="str">
        <x:v>Effective Date</x:v>
      </x:c>
      <x:c r="E2" s="12" t="str">
        <x:v>Evidence Source</x:v>
      </x:c>
      <x:c r="F2" s="12" t="str">
        <x:v>Evidence Path</x:v>
      </x:c>
      <x:c r="G2" s="12" t="str">
        <x:v>Sensitivity</x:v>
      </x:c>
      <x:c r="H2" s="12" t="str">
        <x:v>Notes</x:v>
      </x:c>
    </x:row>
    <x:row r="3">
      <x:c r="A3" t="str">
        <x:v>ORG.LEGAL_NAME</x:v>
      </x:c>
      <x:c r="B3" t="str">
        <x:v>[[CORP_NAME]]</x:v>
      </x:c>
      <x:c r="C3" t="str">
        <x:v>RESERVED</x:v>
      </x:c>
      <x:c r="D3" s="18"/>
      <x:c r="E3" t="str">
        <x:v>Filed charter / Tennessee SOS</x:v>
      </x:c>
      <x:c r="F3" t="str"/>
      <x:c r="G3" t="str">
        <x:v>Internal</x:v>
      </x:c>
      <x:c r="H3" t="str"/>
    </x:row>
    <x:row r="4">
      <x:c r="A4" t="str">
        <x:v>ORG.PUBLIC_NAME</x:v>
      </x:c>
      <x:c r="B4" t="str">
        <x:v>[[PUBLIC_NAME]]</x:v>
      </x:c>
      <x:c r="C4" t="str">
        <x:v>RESERVED</x:v>
      </x:c>
      <x:c r="D4" s="18"/>
      <x:c r="E4" t="str">
        <x:v>Authorized naming decision</x:v>
      </x:c>
      <x:c r="F4" t="str"/>
      <x:c r="G4" t="str">
        <x:v>Public</x:v>
      </x:c>
      <x:c r="H4" t="str"/>
    </x:row>
    <x:row r="5">
      <x:c r="A5" t="str">
        <x:v>ORG.JURISDICTION</x:v>
      </x:c>
      <x:c r="B5" t="str">
        <x:v>Tennessee</x:v>
      </x:c>
      <x:c r="C5" t="str">
        <x:v>VERIFIED</x:v>
      </x:c>
      <x:c r="D5" s="18"/>
      <x:c r="E5" t="str">
        <x:v>Founding design / charter</x:v>
      </x:c>
      <x:c r="F5" t="str"/>
      <x:c r="G5" t="str">
        <x:v>Public</x:v>
      </x:c>
      <x:c r="H5" t="str"/>
    </x:row>
    <x:row r="6">
      <x:c r="A6" t="str">
        <x:v>ORG.ENTITY_TYPE</x:v>
      </x:c>
      <x:c r="B6" t="str">
        <x:v>Tennessee nonprofit religious corporation</x:v>
      </x:c>
      <x:c r="C6" t="str">
        <x:v>PROVISIONAL</x:v>
      </x:c>
      <x:c r="D6" s="18"/>
      <x:c r="E6" t="str">
        <x:v>Filed charter</x:v>
      </x:c>
      <x:c r="F6" t="str"/>
      <x:c r="G6" t="str">
        <x:v>Public</x:v>
      </x:c>
      <x:c r="H6" t="str">
        <x:v>Confirm exact charter classification</x:v>
      </x:c>
    </x:row>
    <x:row r="7">
      <x:c r="A7" t="str">
        <x:v>ORG.CHARTER_FILE_DATE</x:v>
      </x:c>
      <x:c r="B7" t="str">
        <x:v>[[DATE]]</x:v>
      </x:c>
      <x:c r="C7" t="str">
        <x:v>NOT YET EXISTENT</x:v>
      </x:c>
      <x:c r="D7" s="18"/>
      <x:c r="E7" t="str">
        <x:v>Filed charter</x:v>
      </x:c>
      <x:c r="F7" t="str"/>
      <x:c r="G7" t="str">
        <x:v>Public</x:v>
      </x:c>
      <x:c r="H7" t="str"/>
    </x:row>
    <x:row r="8">
      <x:c r="A8" t="str">
        <x:v>ORG.CONTROL_NUMBER</x:v>
      </x:c>
      <x:c r="B8" t="str">
        <x:v>[[NUMBER]]</x:v>
      </x:c>
      <x:c r="C8" t="str">
        <x:v>NOT YET EXISTENT</x:v>
      </x:c>
      <x:c r="D8" s="18"/>
      <x:c r="E8" t="str">
        <x:v>Tennessee SOS</x:v>
      </x:c>
      <x:c r="F8" t="str"/>
      <x:c r="G8" t="str">
        <x:v>Public</x:v>
      </x:c>
      <x:c r="H8" t="str"/>
    </x:row>
    <x:row r="9">
      <x:c r="A9" t="str">
        <x:v>ORG.EIN</x:v>
      </x:c>
      <x:c r="B9" t="str">
        <x:v>[[EIN]]</x:v>
      </x:c>
      <x:c r="C9" t="str">
        <x:v>NOT YET EXISTENT</x:v>
      </x:c>
      <x:c r="D9" s="18"/>
      <x:c r="E9" t="str">
        <x:v>IRS EIN confirmation</x:v>
      </x:c>
      <x:c r="F9" t="str"/>
      <x:c r="G9" t="str">
        <x:v>Restricted</x:v>
      </x:c>
      <x:c r="H9" t="str"/>
    </x:row>
    <x:row r="10">
      <x:c r="A10" t="str">
        <x:v>ORG.PRINCIPAL_OFFICE</x:v>
      </x:c>
      <x:c r="B10" t="str">
        <x:v>[[ADDRESS]]</x:v>
      </x:c>
      <x:c r="C10" t="str">
        <x:v>RESERVED</x:v>
      </x:c>
      <x:c r="D10" s="18"/>
      <x:c r="E10" t="str">
        <x:v>Board record / filing</x:v>
      </x:c>
      <x:c r="F10" t="str"/>
      <x:c r="G10" t="str">
        <x:v>Restricted</x:v>
      </x:c>
      <x:c r="H10" t="str"/>
    </x:row>
    <x:row r="11">
      <x:c r="A11" t="str">
        <x:v>ORG.MAILING_ADDRESS</x:v>
      </x:c>
      <x:c r="B11" t="str">
        <x:v>[[ADDRESS]]</x:v>
      </x:c>
      <x:c r="C11" t="str">
        <x:v>RESERVED</x:v>
      </x:c>
      <x:c r="D11" s="18"/>
      <x:c r="E11" t="str">
        <x:v>Board record</x:v>
      </x:c>
      <x:c r="F11" t="str"/>
      <x:c r="G11" t="str">
        <x:v>Internal</x:v>
      </x:c>
      <x:c r="H11" t="str"/>
    </x:row>
    <x:row r="12">
      <x:c r="A12" t="str">
        <x:v>ORG.REGISTERED_AGENT</x:v>
      </x:c>
      <x:c r="B12" t="str">
        <x:v>[[NAME]]</x:v>
      </x:c>
      <x:c r="C12" t="str">
        <x:v>PROVISIONAL</x:v>
      </x:c>
      <x:c r="D12" s="18"/>
      <x:c r="E12" t="str">
        <x:v>Filed charter / state record</x:v>
      </x:c>
      <x:c r="F12" t="str"/>
      <x:c r="G12" t="str">
        <x:v>Public</x:v>
      </x:c>
      <x:c r="H12" t="str"/>
    </x:row>
    <x:row r="13">
      <x:c r="A13" t="str">
        <x:v>ORG.REGISTERED_OFFICE</x:v>
      </x:c>
      <x:c r="B13" t="str">
        <x:v>[[ADDRESS]]</x:v>
      </x:c>
      <x:c r="C13" t="str">
        <x:v>RESERVED</x:v>
      </x:c>
      <x:c r="D13" s="18"/>
      <x:c r="E13" t="str">
        <x:v>Filed charter / state record</x:v>
      </x:c>
      <x:c r="F13" t="str"/>
      <x:c r="G13" t="str">
        <x:v>Public</x:v>
      </x:c>
      <x:c r="H13" t="str"/>
    </x:row>
    <x:row r="14">
      <x:c r="A14" t="str">
        <x:v>ORG.FISCAL_YEAR_END</x:v>
      </x:c>
      <x:c r="B14" t="str">
        <x:v>[[MONTH-DAY]]</x:v>
      </x:c>
      <x:c r="C14" t="str">
        <x:v>RESERVED</x:v>
      </x:c>
      <x:c r="D14" s="18"/>
      <x:c r="E14" t="str">
        <x:v>Board resolution / accounting policy</x:v>
      </x:c>
      <x:c r="F14" t="str"/>
      <x:c r="G14" t="str">
        <x:v>Public</x:v>
      </x:c>
      <x:c r="H14" t="str"/>
    </x:row>
    <x:row r="15">
      <x:c r="A15" t="str">
        <x:v>ORG.PUBLIC_URL</x:v>
      </x:c>
      <x:c r="B15" t="str">
        <x:v>[[URL]]</x:v>
      </x:c>
      <x:c r="C15" t="str">
        <x:v>RESERVED</x:v>
      </x:c>
      <x:c r="D15" s="18"/>
      <x:c r="E15" t="str">
        <x:v>Authorized communications decision</x:v>
      </x:c>
      <x:c r="F15" t="str"/>
      <x:c r="G15" t="str">
        <x:v>Public</x:v>
      </x:c>
      <x:c r="H15" t="str"/>
    </x:row>
    <x:row r="16">
      <x:c r="A16" t="str">
        <x:v>GOV.FOUNDER</x:v>
      </x:c>
      <x:c r="B16" t="str">
        <x:v>[[NAME]]</x:v>
      </x:c>
      <x:c r="C16" t="str">
        <x:v>PROVISIONAL</x:v>
      </x:c>
      <x:c r="D16" s="18"/>
      <x:c r="E16" t="str">
        <x:v>EC-FOUND-001</x:v>
      </x:c>
      <x:c r="F16" t="str"/>
      <x:c r="G16" t="str">
        <x:v>Public</x:v>
      </x:c>
      <x:c r="H16" t="str"/>
    </x:row>
    <x:row r="17">
      <x:c r="A17" t="str">
        <x:v>GOV.CONSTITUTION_ADOPTION_DATE</x:v>
      </x:c>
      <x:c r="B17" t="str">
        <x:v>[[DATE]]</x:v>
      </x:c>
      <x:c r="C17" t="str">
        <x:v>NOT YET EXISTENT</x:v>
      </x:c>
      <x:c r="D17" s="18"/>
      <x:c r="E17" t="str">
        <x:v>EC-FOUND-001</x:v>
      </x:c>
      <x:c r="F17" t="str"/>
      <x:c r="G17" t="str">
        <x:v>Public</x:v>
      </x:c>
      <x:c r="H17" t="str"/>
    </x:row>
    <x:row r="18">
      <x:c r="A18" t="str">
        <x:v>GOV.PSL</x:v>
      </x:c>
      <x:c r="B18" t="str">
        <x:v>[[NAME]]</x:v>
      </x:c>
      <x:c r="C18" t="str">
        <x:v>NOT YET EXISTENT</x:v>
      </x:c>
      <x:c r="D18" s="18"/>
      <x:c r="E18" t="str">
        <x:v>EC-FOUND-001 / succession record</x:v>
      </x:c>
      <x:c r="F18" t="str"/>
      <x:c r="G18" t="str">
        <x:v>Public</x:v>
      </x:c>
      <x:c r="H18" t="str"/>
    </x:row>
    <x:row r="19">
      <x:c r="A19" t="str">
        <x:v>GOV.BOARD.CHAIR</x:v>
      </x:c>
      <x:c r="B19" t="str">
        <x:v>[[NAME]]</x:v>
      </x:c>
      <x:c r="C19" t="str">
        <x:v>NOT YET EXISTENT</x:v>
      </x:c>
      <x:c r="D19" s="18"/>
      <x:c r="E19" t="str">
        <x:v>Board organizational minutes</x:v>
      </x:c>
      <x:c r="F19" t="str"/>
      <x:c r="G19" t="str">
        <x:v>Public</x:v>
      </x:c>
      <x:c r="H19" t="str"/>
    </x:row>
    <x:row r="20">
      <x:c r="A20" t="str">
        <x:v>GOV.BOARD.SECRETARY</x:v>
      </x:c>
      <x:c r="B20" t="str">
        <x:v>[[NAME]]</x:v>
      </x:c>
      <x:c r="C20" t="str">
        <x:v>NOT YET EXISTENT</x:v>
      </x:c>
      <x:c r="D20" s="18"/>
      <x:c r="E20" t="str">
        <x:v>Board organizational minutes</x:v>
      </x:c>
      <x:c r="F20" t="str"/>
      <x:c r="G20" t="str">
        <x:v>Public</x:v>
      </x:c>
      <x:c r="H20" t="str"/>
    </x:row>
    <x:row r="21">
      <x:c r="A21" t="str">
        <x:v>GOV.BOARD.TREASURER</x:v>
      </x:c>
      <x:c r="B21" t="str">
        <x:v>[[NAME]]</x:v>
      </x:c>
      <x:c r="C21" t="str">
        <x:v>NOT YET EXISTENT</x:v>
      </x:c>
      <x:c r="D21" s="18"/>
      <x:c r="E21" t="str">
        <x:v>Board organizational minutes</x:v>
      </x:c>
      <x:c r="F21" t="str"/>
      <x:c r="G21" t="str">
        <x:v>Public</x:v>
      </x:c>
      <x:c r="H21" t="str"/>
    </x:row>
    <x:row r="22">
      <x:c r="A22" t="str">
        <x:v>REC.CUSTODIAN</x:v>
      </x:c>
      <x:c r="B22" t="str">
        <x:v>[[NAME/OFFICE]]</x:v>
      </x:c>
      <x:c r="C22" t="str">
        <x:v>NOT YET EXISTENT</x:v>
      </x:c>
      <x:c r="D22" s="18"/>
      <x:c r="E22" t="str">
        <x:v>Board/EC records resolution</x:v>
      </x:c>
      <x:c r="F22" t="str"/>
      <x:c r="G22" t="str">
        <x:v>Internal</x:v>
      </x:c>
      <x:c r="H22" t="str"/>
    </x:row>
    <x:row r="23">
      <x:c r="A23" t="str">
        <x:v>REC.REPOSITORY</x:v>
      </x:c>
      <x:c r="B23" t="str">
        <x:v>institution/</x:v>
      </x:c>
      <x:c r="C23" t="str">
        <x:v>PROVISIONAL</x:v>
      </x:c>
      <x:c r="D23" s="18"/>
      <x:c r="E23" t="str">
        <x:v>REPO-001</x:v>
      </x:c>
      <x:c r="F23" t="str"/>
      <x:c r="G23" t="str">
        <x:v>Internal</x:v>
      </x:c>
      <x:c r="H23" t="str"/>
    </x:row>
    <x:row r="24">
      <x:c r="A24" t="str">
        <x:v>FIN.ACCOUNTING_SYSTEM</x:v>
      </x:c>
      <x:c r="B24" t="str">
        <x:v>[[SYSTEM]]</x:v>
      </x:c>
      <x:c r="C24" t="str">
        <x:v>NOT YET EXISTENT</x:v>
      </x:c>
      <x:c r="D24" s="18"/>
      <x:c r="E24" t="str">
        <x:v>Board/finance activation</x:v>
      </x:c>
      <x:c r="F24" t="str"/>
      <x:c r="G24" t="str">
        <x:v>Internal</x:v>
      </x:c>
      <x:c r="H24" t="str"/>
    </x:row>
    <x:row r="25">
      <x:c r="A25" t="str">
        <x:v>SAFE.REPORTING_CHANNEL</x:v>
      </x:c>
      <x:c r="B25" t="str">
        <x:v>[[CHANNEL]]</x:v>
      </x:c>
      <x:c r="C25" t="str">
        <x:v>NOT YET EXISTENT</x:v>
      </x:c>
      <x:c r="D25" s="18"/>
      <x:c r="E25" t="str">
        <x:v>SAFE activation record</x:v>
      </x:c>
      <x:c r="F25" t="str"/>
      <x:c r="G25" t="str">
        <x:v>Restricted</x:v>
      </x:c>
      <x:c r="H25" t="str"/>
    </x:row>
    <x:row r="26">
      <x:c r="D26" s="18"/>
    </x:row>
    <x:row r="27">
      <x:c r="D27" s="18"/>
    </x:row>
    <x:row r="28">
      <x:c r="D28" s="18"/>
    </x:row>
    <x:row r="29">
      <x:c r="D29" s="18"/>
    </x:row>
    <x:row r="30">
      <x:c r="D30" s="18"/>
    </x:row>
    <x:row r="31">
      <x:c r="D31" s="18"/>
    </x:row>
    <x:row r="32">
      <x:c r="D32" s="18"/>
    </x:row>
    <x:row r="33">
      <x:c r="D33" s="18"/>
    </x:row>
    <x:row r="34">
      <x:c r="D34" s="18"/>
    </x:row>
    <x:row r="35">
      <x:c r="D35" s="18"/>
    </x:row>
    <x:row r="36">
      <x:c r="D36" s="18"/>
    </x:row>
    <x:row r="37">
      <x:c r="D37" s="18"/>
    </x:row>
    <x:row r="38">
      <x:c r="D38" s="18"/>
    </x:row>
    <x:row r="39">
      <x:c r="D39" s="18"/>
    </x:row>
    <x:row r="40">
      <x:c r="D40" s="18"/>
    </x:row>
    <x:row r="41">
      <x:c r="D41" s="18"/>
    </x:row>
    <x:row r="42">
      <x:c r="D42" s="18"/>
    </x:row>
    <x:row r="43">
      <x:c r="D43" s="18"/>
    </x:row>
    <x:row r="44">
      <x:c r="D44" s="18"/>
    </x:row>
    <x:row r="45">
      <x:c r="D45" s="18"/>
    </x:row>
    <x:row r="46">
      <x:c r="D46" s="18"/>
    </x:row>
    <x:row r="47">
      <x:c r="D47" s="18"/>
    </x:row>
    <x:row r="48">
      <x:c r="D48" s="18"/>
    </x:row>
    <x:row r="49">
      <x:c r="D49" s="18"/>
    </x:row>
    <x:row r="50">
      <x:c r="D50" s="18"/>
    </x:row>
    <x:row r="51">
      <x:c r="D51" s="18"/>
    </x:row>
    <x:row r="52">
      <x:c r="D52" s="18"/>
    </x:row>
    <x:row r="53">
      <x:c r="D53" s="18"/>
    </x:row>
    <x:row r="54">
      <x:c r="D54" s="18"/>
    </x:row>
    <x:row r="55">
      <x:c r="D55" s="18"/>
    </x:row>
    <x:row r="56">
      <x:c r="D56" s="18"/>
    </x:row>
    <x:row r="57">
      <x:c r="D57" s="18"/>
    </x:row>
    <x:row r="58">
      <x:c r="D58" s="18"/>
    </x:row>
    <x:row r="59">
      <x:c r="D59" s="18"/>
    </x:row>
    <x:row r="60">
      <x:c r="D60" s="18"/>
    </x:row>
    <x:row r="61">
      <x:c r="D61" s="18"/>
    </x:row>
    <x:row r="62">
      <x:c r="D62" s="18"/>
    </x:row>
    <x:row r="63">
      <x:c r="D63" s="18"/>
    </x:row>
    <x:row r="64">
      <x:c r="D64" s="18"/>
    </x:row>
    <x:row r="65">
      <x:c r="D65" s="18"/>
    </x:row>
    <x:row r="66">
      <x:c r="D66" s="18"/>
    </x:row>
    <x:row r="67">
      <x:c r="D67" s="18"/>
    </x:row>
    <x:row r="68">
      <x:c r="D68" s="18"/>
    </x:row>
    <x:row r="69">
      <x:c r="D69" s="18"/>
    </x:row>
    <x:row r="70">
      <x:c r="D70" s="18"/>
    </x:row>
    <x:row r="71">
      <x:c r="D71" s="18"/>
    </x:row>
    <x:row r="72">
      <x:c r="D72" s="18"/>
    </x:row>
    <x:row r="73">
      <x:c r="D73" s="18"/>
    </x:row>
    <x:row r="74">
      <x:c r="D74" s="18"/>
    </x:row>
    <x:row r="75">
      <x:c r="D75" s="18"/>
    </x:row>
    <x:row r="76">
      <x:c r="D76" s="18"/>
    </x:row>
    <x:row r="77">
      <x:c r="D77" s="18"/>
    </x:row>
    <x:row r="78">
      <x:c r="D78" s="18"/>
    </x:row>
    <x:row r="79">
      <x:c r="D79" s="18"/>
    </x:row>
    <x:row r="80">
      <x:c r="D80" s="18"/>
    </x:row>
    <x:row r="81">
      <x:c r="D81" s="18"/>
    </x:row>
    <x:row r="82">
      <x:c r="D82" s="18"/>
    </x:row>
    <x:row r="83">
      <x:c r="D83" s="18"/>
    </x:row>
    <x:row r="84">
      <x:c r="D84" s="18"/>
    </x:row>
    <x:row r="85">
      <x:c r="D85" s="18"/>
    </x:row>
    <x:row r="86">
      <x:c r="D86" s="18"/>
    </x:row>
    <x:row r="87">
      <x:c r="D87" s="18"/>
    </x:row>
    <x:row r="88">
      <x:c r="D88" s="18"/>
    </x:row>
    <x:row r="89">
      <x:c r="D89" s="18"/>
    </x:row>
    <x:row r="90">
      <x:c r="D90" s="18"/>
    </x:row>
    <x:row r="91">
      <x:c r="D91" s="18"/>
    </x:row>
    <x:row r="92">
      <x:c r="D92" s="18"/>
    </x:row>
    <x:row r="93">
      <x:c r="D93" s="18"/>
    </x:row>
    <x:row r="94">
      <x:c r="D94" s="18"/>
    </x:row>
    <x:row r="95">
      <x:c r="D95" s="18"/>
    </x:row>
    <x:row r="96">
      <x:c r="D96" s="18"/>
    </x:row>
    <x:row r="97">
      <x:c r="D97" s="18"/>
    </x:row>
    <x:row r="98">
      <x:c r="D98" s="18"/>
    </x:row>
    <x:row r="99">
      <x:c r="D99" s="18"/>
    </x:row>
    <x:row r="100">
      <x:c r="D100" s="18"/>
    </x:row>
    <x:row r="101">
      <x:c r="D101" s="18"/>
    </x:row>
    <x:row r="102">
      <x:c r="D102" s="18"/>
    </x:row>
    <x:row r="103">
      <x:c r="D103" s="18"/>
    </x:row>
    <x:row r="104">
      <x:c r="D104" s="18"/>
    </x:row>
    <x:row r="105">
      <x:c r="D105" s="18"/>
    </x:row>
    <x:row r="106">
      <x:c r="D106" s="18"/>
    </x:row>
    <x:row r="107">
      <x:c r="D107" s="18"/>
    </x:row>
    <x:row r="108">
      <x:c r="D108" s="18"/>
    </x:row>
    <x:row r="109">
      <x:c r="D109" s="18"/>
    </x:row>
    <x:row r="110">
      <x:c r="D110" s="18"/>
    </x:row>
    <x:row r="111">
      <x:c r="D111" s="18"/>
    </x:row>
    <x:row r="112">
      <x:c r="D112" s="18"/>
    </x:row>
    <x:row r="113">
      <x:c r="D113" s="18"/>
    </x:row>
    <x:row r="114">
      <x:c r="D114" s="18"/>
    </x:row>
    <x:row r="115">
      <x:c r="D115" s="18"/>
    </x:row>
    <x:row r="116">
      <x:c r="D116" s="18"/>
    </x:row>
    <x:row r="117">
      <x:c r="D117" s="18"/>
    </x:row>
    <x:row r="118">
      <x:c r="D118" s="18"/>
    </x:row>
    <x:row r="119">
      <x:c r="D119" s="18"/>
    </x:row>
    <x:row r="120">
      <x:c r="D120" s="18"/>
    </x:row>
    <x:row r="121">
      <x:c r="D121" s="18"/>
    </x:row>
    <x:row r="122">
      <x:c r="D122" s="18"/>
    </x:row>
    <x:row r="123">
      <x:c r="D123" s="18"/>
    </x:row>
    <x:row r="124">
      <x:c r="D124" s="18"/>
    </x:row>
    <x:row r="125">
      <x:c r="D125" s="18"/>
    </x:row>
    <x:row r="126">
      <x:c r="D126" s="18"/>
    </x:row>
    <x:row r="127">
      <x:c r="D127" s="18"/>
    </x:row>
    <x:row r="128">
      <x:c r="D128" s="18"/>
    </x:row>
    <x:row r="129">
      <x:c r="D129" s="18"/>
    </x:row>
    <x:row r="130">
      <x:c r="D130" s="18"/>
    </x:row>
    <x:row r="131">
      <x:c r="D131" s="18"/>
    </x:row>
    <x:row r="132">
      <x:c r="D132" s="18"/>
    </x:row>
    <x:row r="133">
      <x:c r="D133" s="18"/>
    </x:row>
    <x:row r="134">
      <x:c r="D134" s="18"/>
    </x:row>
    <x:row r="135">
      <x:c r="D135" s="18"/>
    </x:row>
    <x:row r="136">
      <x:c r="D136" s="18"/>
    </x:row>
    <x:row r="137">
      <x:c r="D137" s="18"/>
    </x:row>
    <x:row r="138">
      <x:c r="D138" s="18"/>
    </x:row>
    <x:row r="139">
      <x:c r="D139" s="18"/>
    </x:row>
    <x:row r="140">
      <x:c r="D140" s="18"/>
    </x:row>
    <x:row r="141">
      <x:c r="D141" s="18"/>
    </x:row>
    <x:row r="142">
      <x:c r="D142" s="18"/>
    </x:row>
    <x:row r="143">
      <x:c r="D143" s="18"/>
    </x:row>
    <x:row r="144">
      <x:c r="D144" s="18"/>
    </x:row>
    <x:row r="145">
      <x:c r="D145" s="18"/>
    </x:row>
    <x:row r="146">
      <x:c r="D146" s="18"/>
    </x:row>
    <x:row r="147">
      <x:c r="D147" s="18"/>
    </x:row>
    <x:row r="148">
      <x:c r="D148" s="18"/>
    </x:row>
    <x:row r="149">
      <x:c r="D149" s="18"/>
    </x:row>
    <x:row r="150">
      <x:c r="D150" s="18"/>
    </x:row>
    <x:row r="151">
      <x:c r="D151" s="18"/>
    </x:row>
    <x:row r="152">
      <x:c r="D152" s="18"/>
    </x:row>
    <x:row r="153">
      <x:c r="D153" s="18"/>
    </x:row>
    <x:row r="154">
      <x:c r="D154" s="18"/>
    </x:row>
    <x:row r="155">
      <x:c r="D155" s="18"/>
    </x:row>
    <x:row r="156">
      <x:c r="D156" s="18"/>
    </x:row>
    <x:row r="157">
      <x:c r="D157" s="18"/>
    </x:row>
    <x:row r="158">
      <x:c r="D158" s="18"/>
    </x:row>
    <x:row r="159">
      <x:c r="D159" s="18"/>
    </x:row>
    <x:row r="160">
      <x:c r="D160" s="18"/>
    </x:row>
    <x:row r="161">
      <x:c r="D161" s="18"/>
    </x:row>
    <x:row r="162">
      <x:c r="D162" s="18"/>
    </x:row>
    <x:row r="163">
      <x:c r="D163" s="18"/>
    </x:row>
    <x:row r="164">
      <x:c r="D164" s="18"/>
    </x:row>
    <x:row r="165">
      <x:c r="D165" s="18"/>
    </x:row>
    <x:row r="166">
      <x:c r="D166" s="18"/>
    </x:row>
    <x:row r="167">
      <x:c r="D167" s="18"/>
    </x:row>
    <x:row r="168">
      <x:c r="D168" s="18"/>
    </x:row>
    <x:row r="169">
      <x:c r="D169" s="18"/>
    </x:row>
    <x:row r="170">
      <x:c r="D170" s="18"/>
    </x:row>
    <x:row r="171">
      <x:c r="D171" s="18"/>
    </x:row>
    <x:row r="172">
      <x:c r="D172" s="18"/>
    </x:row>
    <x:row r="173">
      <x:c r="D173" s="18"/>
    </x:row>
    <x:row r="174">
      <x:c r="D174" s="18"/>
    </x:row>
    <x:row r="175">
      <x:c r="D175" s="18"/>
    </x:row>
    <x:row r="176">
      <x:c r="D176" s="18"/>
    </x:row>
    <x:row r="177">
      <x:c r="D177" s="18"/>
    </x:row>
    <x:row r="178">
      <x:c r="D178" s="18"/>
    </x:row>
    <x:row r="179">
      <x:c r="D179" s="18"/>
    </x:row>
    <x:row r="180">
      <x:c r="D180" s="18"/>
    </x:row>
    <x:row r="181">
      <x:c r="D181" s="18"/>
    </x:row>
    <x:row r="182">
      <x:c r="D182" s="18"/>
    </x:row>
    <x:row r="183">
      <x:c r="D183" s="18"/>
    </x:row>
    <x:row r="184">
      <x:c r="D184" s="18"/>
    </x:row>
    <x:row r="185">
      <x:c r="D185" s="18"/>
    </x:row>
    <x:row r="186">
      <x:c r="D186" s="18"/>
    </x:row>
    <x:row r="187">
      <x:c r="D187" s="18"/>
    </x:row>
    <x:row r="188">
      <x:c r="D188" s="18"/>
    </x:row>
    <x:row r="189">
      <x:c r="D189" s="18"/>
    </x:row>
    <x:row r="190">
      <x:c r="D190" s="18"/>
    </x:row>
    <x:row r="191">
      <x:c r="D191" s="18"/>
    </x:row>
    <x:row r="192">
      <x:c r="D192" s="18"/>
    </x:row>
    <x:row r="193">
      <x:c r="D193" s="18"/>
    </x:row>
    <x:row r="194">
      <x:c r="D194" s="18"/>
    </x:row>
    <x:row r="195">
      <x:c r="D195" s="18"/>
    </x:row>
    <x:row r="196">
      <x:c r="D196" s="18"/>
    </x:row>
    <x:row r="197">
      <x:c r="D197" s="18"/>
    </x:row>
    <x:row r="198">
      <x:c r="D198" s="18"/>
    </x:row>
    <x:row r="199">
      <x:c r="D199" s="18"/>
    </x:row>
    <x:row r="200">
      <x:c r="D200" s="18"/>
    </x:row>
  </x:sheetData>
  <x:mergeCells>
    <x:mergeCell ref="A1:H1"/>
  </x:mergeCells>
  <x:dataValidations count="2">
    <x:dataValidation type="list" sqref="C3:C200">
      <x:formula1>"VERIFIED,PROVISIONAL,RESERVED,NOT YET EXISTENT,SUPERSEDED"</x:formula1>
    </x:dataValidation>
    <x:dataValidation type="list" sqref="G3:G200">
      <x:formula1>"Public,Internal,Confidential,Restricted"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4" hidden="0" customWidth="1"/>
    <x:col min="8" max="8" width="34" hidden="0" customWidth="1"/>
  </x:cols>
  <x:sheetData>
    <x:row r="1">
      <x:c r="A1" s="4" t="str">
        <x:v>REC-ID-001 — Record Series Registry</x:v>
      </x:c>
      <x:c r="B1" s="4"/>
      <x:c r="C1" s="4"/>
      <x:c r="D1" s="4"/>
      <x:c r="E1" s="4"/>
      <x:c r="F1" s="4"/>
      <x:c r="G1" s="4"/>
      <x:c r="H1" s="4"/>
    </x:row>
    <x:row r="2">
      <x:c r="A2" s="12" t="str">
        <x:v>Series</x:v>
      </x:c>
      <x:c r="B2" s="12" t="str">
        <x:v>Record Type</x:v>
      </x:c>
      <x:c r="C2" s="12" t="str">
        <x:v>Pattern</x:v>
      </x:c>
      <x:c r="D2" s="12" t="str">
        <x:v>Custodian</x:v>
      </x:c>
      <x:c r="E2" s="12" t="str">
        <x:v>Next Number</x:v>
      </x:c>
      <x:c r="F2" s="12" t="str">
        <x:v>Active?</x:v>
      </x:c>
      <x:c r="G2" s="12" t="str">
        <x:v>Repository Area</x:v>
      </x:c>
      <x:c r="H2" s="12" t="str">
        <x:v>Notes</x:v>
      </x:c>
    </x:row>
    <x:row r="3">
      <x:c r="A3" t="str">
        <x:v>BOARD-MIN</x:v>
      </x:c>
      <x:c r="B3" t="str">
        <x:v>Civil Board minutes</x:v>
      </x:c>
      <x:c r="C3" t="str">
        <x:v>BOARD-MIN-YYYY-NNNN</x:v>
      </x:c>
      <x:c r="D3" t="str">
        <x:v>Secretary</x:v>
      </x:c>
      <x:c r="E3" t="n">
        <x:v>1</x:v>
      </x:c>
      <x:c r="F3" t="str">
        <x:v>Yes</x:v>
      </x:c>
      <x:c r="G3" t="str">
        <x:v>04-governance/board/minutes</x:v>
      </x:c>
      <x:c r="H3" t="str"/>
    </x:row>
    <x:row r="4">
      <x:c r="A4" t="str">
        <x:v>BOARD-RES</x:v>
      </x:c>
      <x:c r="B4" t="str">
        <x:v>Civil Board resolutions</x:v>
      </x:c>
      <x:c r="C4" t="str">
        <x:v>BOARD-RES-YYYY-NNNN</x:v>
      </x:c>
      <x:c r="D4" t="str">
        <x:v>Secretary</x:v>
      </x:c>
      <x:c r="E4" t="n">
        <x:v>1</x:v>
      </x:c>
      <x:c r="F4" t="str">
        <x:v>Yes</x:v>
      </x:c>
      <x:c r="G4" t="str">
        <x:v>04-governance/board/resolutions</x:v>
      </x:c>
      <x:c r="H4" t="str"/>
    </x:row>
    <x:row r="5">
      <x:c r="A5" t="str">
        <x:v>EC-MIN</x:v>
      </x:c>
      <x:c r="B5" t="str">
        <x:v>Ecclesiastical Council minutes</x:v>
      </x:c>
      <x:c r="C5" t="str">
        <x:v>EC-MIN-YYYY-NNNN</x:v>
      </x:c>
      <x:c r="D5" t="str">
        <x:v>EC Recorder</x:v>
      </x:c>
      <x:c r="E5" t="n">
        <x:v>1</x:v>
      </x:c>
      <x:c r="F5" t="str">
        <x:v>Yes</x:v>
      </x:c>
      <x:c r="G5" t="str">
        <x:v>04-governance/ecclesiastical-council/minutes</x:v>
      </x:c>
      <x:c r="H5" t="str"/>
    </x:row>
    <x:row r="6">
      <x:c r="A6" t="str">
        <x:v>EC-DEC</x:v>
      </x:c>
      <x:c r="B6" t="str">
        <x:v>Ecclesiastical Council decisions</x:v>
      </x:c>
      <x:c r="C6" t="str">
        <x:v>EC-DEC-YYYY-NNNN</x:v>
      </x:c>
      <x:c r="D6" t="str">
        <x:v>EC Recorder</x:v>
      </x:c>
      <x:c r="E6" t="n">
        <x:v>1</x:v>
      </x:c>
      <x:c r="F6" t="str">
        <x:v>Yes</x:v>
      </x:c>
      <x:c r="G6" t="str">
        <x:v>04-governance/ecclesiastical-council/decisions</x:v>
      </x:c>
      <x:c r="H6" t="str"/>
    </x:row>
    <x:row r="7">
      <x:c r="A7" t="str">
        <x:v>CMA-MIN</x:v>
      </x:c>
      <x:c r="B7" t="str">
        <x:v>Covenant Member Assembly minutes</x:v>
      </x:c>
      <x:c r="C7" t="str">
        <x:v>CMA-MIN-YYYY-NNNN</x:v>
      </x:c>
      <x:c r="D7" t="str">
        <x:v>CMA Recorder</x:v>
      </x:c>
      <x:c r="E7" t="n">
        <x:v>1</x:v>
      </x:c>
      <x:c r="F7" t="str">
        <x:v>Yes</x:v>
      </x:c>
      <x:c r="G7" t="str">
        <x:v>04-governance/cma/minutes</x:v>
      </x:c>
      <x:c r="H7" t="str"/>
    </x:row>
    <x:row r="8">
      <x:c r="A8" t="str">
        <x:v>GOV-DEC</x:v>
      </x:c>
      <x:c r="B8" t="str">
        <x:v>Governance decisions</x:v>
      </x:c>
      <x:c r="C8" t="str">
        <x:v>GOV-DEC-YYYY-NNNN</x:v>
      </x:c>
      <x:c r="D8" t="str">
        <x:v>Records Custodian</x:v>
      </x:c>
      <x:c r="E8" t="n">
        <x:v>1</x:v>
      </x:c>
      <x:c r="F8" t="str">
        <x:v>Yes</x:v>
      </x:c>
      <x:c r="G8" t="str">
        <x:v>04-governance/decisions</x:v>
      </x:c>
      <x:c r="H8" t="str"/>
    </x:row>
    <x:row r="9">
      <x:c r="A9" t="str">
        <x:v>SR</x:v>
      </x:c>
      <x:c r="B9" t="str">
        <x:v>Worship service records</x:v>
      </x:c>
      <x:c r="C9" t="str">
        <x:v>SR-YYYY-NNNN</x:v>
      </x:c>
      <x:c r="D9" t="str">
        <x:v>Worship Records Custodian</x:v>
      </x:c>
      <x:c r="E9" t="n">
        <x:v>1</x:v>
      </x:c>
      <x:c r="F9" t="str">
        <x:v>Yes</x:v>
      </x:c>
      <x:c r="G9" t="str">
        <x:v>07-records/services</x:v>
      </x:c>
      <x:c r="H9" t="str"/>
    </x:row>
    <x:row r="10">
      <x:c r="A10" t="str">
        <x:v>ATT</x:v>
      </x:c>
      <x:c r="B10" t="str">
        <x:v>Attendance records</x:v>
      </x:c>
      <x:c r="C10" t="str">
        <x:v>ATT-YYYY-NNNN</x:v>
      </x:c>
      <x:c r="D10" t="str">
        <x:v>Membership/Attendance Custodian</x:v>
      </x:c>
      <x:c r="E10" t="n">
        <x:v>1</x:v>
      </x:c>
      <x:c r="F10" t="str">
        <x:v>Yes</x:v>
      </x:c>
      <x:c r="G10" t="str">
        <x:v>07-records/attendance</x:v>
      </x:c>
      <x:c r="H10" t="str"/>
    </x:row>
    <x:row r="11">
      <x:c r="A11" t="str">
        <x:v>TA</x:v>
      </x:c>
      <x:c r="B11" t="str">
        <x:v>Teaching archive</x:v>
      </x:c>
      <x:c r="C11" t="str">
        <x:v>TA-YYYY-NNNN</x:v>
      </x:c>
      <x:c r="D11" t="str">
        <x:v>Teaching Archivist</x:v>
      </x:c>
      <x:c r="E11" t="n">
        <x:v>1</x:v>
      </x:c>
      <x:c r="F11" t="str">
        <x:v>Yes</x:v>
      </x:c>
      <x:c r="G11" t="str">
        <x:v>07-records/teaching</x:v>
      </x:c>
      <x:c r="H11" t="str"/>
    </x:row>
    <x:row r="12">
      <x:c r="A12" t="str">
        <x:v>RR</x:v>
      </x:c>
      <x:c r="B12" t="str">
        <x:v>Rite records</x:v>
      </x:c>
      <x:c r="C12" t="str">
        <x:v>RR-YYYY-NNNN</x:v>
      </x:c>
      <x:c r="D12" t="str">
        <x:v>Religious Records Custodian</x:v>
      </x:c>
      <x:c r="E12" t="n">
        <x:v>1</x:v>
      </x:c>
      <x:c r="F12" t="str">
        <x:v>Yes</x:v>
      </x:c>
      <x:c r="G12" t="str">
        <x:v>07-records/rites</x:v>
      </x:c>
      <x:c r="H12" t="str"/>
    </x:row>
    <x:row r="13">
      <x:c r="A13" t="str">
        <x:v>MEM</x:v>
      </x:c>
      <x:c r="B13" t="str">
        <x:v>Membership records</x:v>
      </x:c>
      <x:c r="C13" t="str">
        <x:v>MEM-YYYY-NNNN</x:v>
      </x:c>
      <x:c r="D13" t="str">
        <x:v>Membership Registrar</x:v>
      </x:c>
      <x:c r="E13" t="n">
        <x:v>1</x:v>
      </x:c>
      <x:c r="F13" t="str">
        <x:v>Yes</x:v>
      </x:c>
      <x:c r="G13" t="str">
        <x:v>07-records/membership</x:v>
      </x:c>
      <x:c r="H13" t="str"/>
    </x:row>
    <x:row r="14">
      <x:c r="A14" t="str">
        <x:v>MIN-CRED</x:v>
      </x:c>
      <x:c r="B14" t="str">
        <x:v>Minister credentials</x:v>
      </x:c>
      <x:c r="C14" t="str">
        <x:v>MIN-CRED-YYYY-NNNN</x:v>
      </x:c>
      <x:c r="D14" t="str">
        <x:v>Credential Registrar</x:v>
      </x:c>
      <x:c r="E14" t="n">
        <x:v>1</x:v>
      </x:c>
      <x:c r="F14" t="str">
        <x:v>Yes</x:v>
      </x:c>
      <x:c r="G14" t="str">
        <x:v>07-records/credentials</x:v>
      </x:c>
      <x:c r="H14" t="str"/>
    </x:row>
    <x:row r="15">
      <x:c r="A15" t="str">
        <x:v>MIN-EXAM</x:v>
      </x:c>
      <x:c r="B15" t="str">
        <x:v>Minister examinations</x:v>
      </x:c>
      <x:c r="C15" t="str">
        <x:v>MIN-EXAM-YYYY-NNNN</x:v>
      </x:c>
      <x:c r="D15" t="str">
        <x:v>Credential Registrar</x:v>
      </x:c>
      <x:c r="E15" t="n">
        <x:v>1</x:v>
      </x:c>
      <x:c r="F15" t="str">
        <x:v>Yes</x:v>
      </x:c>
      <x:c r="G15" t="str">
        <x:v>07-records/credentials</x:v>
      </x:c>
      <x:c r="H15" t="str"/>
    </x:row>
    <x:row r="16">
      <x:c r="A16" t="str">
        <x:v>SAFE</x:v>
      </x:c>
      <x:c r="B16" t="str">
        <x:v>Safeguarding matters</x:v>
      </x:c>
      <x:c r="C16" t="str">
        <x:v>SAFE-YYYY-NNNN</x:v>
      </x:c>
      <x:c r="D16" t="str">
        <x:v>Safeguarding Custodian</x:v>
      </x:c>
      <x:c r="E16" t="n">
        <x:v>1</x:v>
      </x:c>
      <x:c r="F16" t="str">
        <x:v>Yes</x:v>
      </x:c>
      <x:c r="G16" t="str">
        <x:v>07-records/safeguarding</x:v>
      </x:c>
      <x:c r="H16" t="str">
        <x:v>Restricted</x:v>
      </x:c>
    </x:row>
    <x:row r="17">
      <x:c r="A17" t="str">
        <x:v>DISC</x:v>
      </x:c>
      <x:c r="B17" t="str">
        <x:v>Discipline cases</x:v>
      </x:c>
      <x:c r="C17" t="str">
        <x:v>DISC-YYYY-NNNN</x:v>
      </x:c>
      <x:c r="D17" t="str">
        <x:v>Discipline Records Custodian</x:v>
      </x:c>
      <x:c r="E17" t="n">
        <x:v>1</x:v>
      </x:c>
      <x:c r="F17" t="str">
        <x:v>Yes</x:v>
      </x:c>
      <x:c r="G17" t="str">
        <x:v>07-records/discipline</x:v>
      </x:c>
      <x:c r="H17" t="str">
        <x:v>Restricted</x:v>
      </x:c>
    </x:row>
    <x:row r="18">
      <x:c r="A18" t="str">
        <x:v>FIN-TXN</x:v>
      </x:c>
      <x:c r="B18" t="str">
        <x:v>Financial transactions</x:v>
      </x:c>
      <x:c r="C18" t="str">
        <x:v>FIN-TXN-YYYY-NNNN</x:v>
      </x:c>
      <x:c r="D18" t="str">
        <x:v>Treasurer</x:v>
      </x:c>
      <x:c r="E18" t="n">
        <x:v>1</x:v>
      </x:c>
      <x:c r="F18" t="str">
        <x:v>Yes</x:v>
      </x:c>
      <x:c r="G18" t="str">
        <x:v>07-records/financial</x:v>
      </x:c>
      <x:c r="H18" t="str"/>
    </x:row>
    <x:row r="19">
      <x:c r="A19" t="str">
        <x:v>FIN-RPT</x:v>
      </x:c>
      <x:c r="B19" t="str">
        <x:v>Financial reports</x:v>
      </x:c>
      <x:c r="C19" t="str">
        <x:v>FIN-RPT-YYYY-NNNN</x:v>
      </x:c>
      <x:c r="D19" t="str">
        <x:v>Treasurer</x:v>
      </x:c>
      <x:c r="E19" t="n">
        <x:v>1</x:v>
      </x:c>
      <x:c r="F19" t="str">
        <x:v>Yes</x:v>
      </x:c>
      <x:c r="G19" t="str">
        <x:v>07-records/financial/reports</x:v>
      </x:c>
      <x:c r="H19" t="str"/>
    </x:row>
    <x:row r="20">
      <x:c r="A20" t="str">
        <x:v>RPT</x:v>
      </x:c>
      <x:c r="B20" t="str">
        <x:v>Related-party transactions</x:v>
      </x:c>
      <x:c r="C20" t="str">
        <x:v>RPT-YYYY-NNNN</x:v>
      </x:c>
      <x:c r="D20" t="str">
        <x:v>Secretary/Treasurer</x:v>
      </x:c>
      <x:c r="E20" t="n">
        <x:v>1</x:v>
      </x:c>
      <x:c r="F20" t="str">
        <x:v>Yes</x:v>
      </x:c>
      <x:c r="G20" t="str">
        <x:v>07-records/financial/related-parties</x:v>
      </x:c>
      <x:c r="H20" t="str"/>
    </x:row>
    <x:row r="21">
      <x:c r="A21" t="str">
        <x:v>EVD</x:v>
      </x:c>
      <x:c r="B21" t="str">
        <x:v>Evidence items</x:v>
      </x:c>
      <x:c r="C21" t="str">
        <x:v>EVD-YYYY-NNNN</x:v>
      </x:c>
      <x:c r="D21" t="str">
        <x:v>Records Custodian</x:v>
      </x:c>
      <x:c r="E21" t="n">
        <x:v>1</x:v>
      </x:c>
      <x:c r="F21" t="str">
        <x:v>Yes</x:v>
      </x:c>
      <x:c r="G21" t="str">
        <x:v>08-evidence</x:v>
      </x:c>
      <x:c r="H21" t="str"/>
    </x:row>
    <x:row r="22">
      <x:c r="A22" t="str">
        <x:v>CORR-IRS</x:v>
      </x:c>
      <x:c r="B22" t="str">
        <x:v>IRS correspondence</x:v>
      </x:c>
      <x:c r="C22" t="str">
        <x:v>CORR-IRS-YYYY-NNNN</x:v>
      </x:c>
      <x:c r="D22" t="str">
        <x:v>Secretary/Treasurer</x:v>
      </x:c>
      <x:c r="E22" t="n">
        <x:v>1</x:v>
      </x:c>
      <x:c r="F22" t="str">
        <x:v>Yes</x:v>
      </x:c>
      <x:c r="G22" t="str">
        <x:v>09-tax-and-regulatory/irs-correspondence</x:v>
      </x:c>
      <x:c r="H22" t="str"/>
    </x:row>
    <x:row r="23">
      <x:c r="A23" t="str">
        <x:v>ADOPT</x:v>
      </x:c>
      <x:c r="B23" t="str">
        <x:v>Adoption records</x:v>
      </x:c>
      <x:c r="C23" t="str">
        <x:v>ADOPT-YYYY-NNNN</x:v>
      </x:c>
      <x:c r="D23" t="str">
        <x:v>Records Custodian</x:v>
      </x:c>
      <x:c r="E23" t="n">
        <x:v>1</x:v>
      </x:c>
      <x:c r="F23" t="str">
        <x:v>Yes</x:v>
      </x:c>
      <x:c r="G23" t="str">
        <x:v>00-control/adoption-register</x:v>
      </x:c>
      <x:c r="H23" t="str"/>
    </x:row>
  </x:sheetData>
  <x:mergeCells>
    <x:mergeCell ref="A1:H1"/>
  </x:mergeCells>
  <x:dataValidations count="1">
    <x:dataValidation type="list" sqref="F3:F200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30" hidden="0" customWidth="1"/>
    <x:col min="10" max="10" width="30" hidden="0" customWidth="1"/>
    <x:col min="11" max="11" width="20" hidden="0" customWidth="1"/>
    <x:col min="12" max="12" width="20" hidden="0" customWidth="1"/>
    <x:col min="13" max="13" width="20" hidden="0" customWidth="1"/>
    <x:col min="14" max="14" width="34" hidden="0" customWidth="1"/>
  </x:cols>
  <x:sheetData>
    <x:row r="1">
      <x:c r="A1" s="4" t="str">
        <x:v>ADOPT-001 — Founding Adoption and Activation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12" t="str">
        <x:v>Instrument ID</x:v>
      </x:c>
      <x:c r="B2" s="12" t="str">
        <x:v>Version</x:v>
      </x:c>
      <x:c r="C2" s="12" t="str">
        <x:v>Title</x:v>
      </x:c>
      <x:c r="D2" s="12" t="str">
        <x:v>Adopting Authority</x:v>
      </x:c>
      <x:c r="E2" s="12" t="str">
        <x:v>Decision ID</x:v>
      </x:c>
      <x:c r="F2" s="12" t="str">
        <x:v>Adoption Date</x:v>
      </x:c>
      <x:c r="G2" s="12" t="str">
        <x:v>Effective Date</x:v>
      </x:c>
      <x:c r="H2" s="12" t="str">
        <x:v>Required Concurrence</x:v>
      </x:c>
      <x:c r="I2" s="12" t="str">
        <x:v>Activation Status</x:v>
      </x:c>
      <x:c r="J2" s="12" t="str">
        <x:v>Canonical Path</x:v>
      </x:c>
      <x:c r="K2" s="12" t="str">
        <x:v>Certified By</x:v>
      </x:c>
      <x:c r="L2" s="12" t="str">
        <x:v>Supersedes</x:v>
      </x:c>
      <x:c r="M2" s="12" t="str">
        <x:v>Attorney/Advisor Review</x:v>
      </x:c>
      <x:c r="N2" s="12" t="str">
        <x:v>Notes</x:v>
      </x:c>
    </x:row>
    <x:row r="3">
      <x:c r="A3" t="str">
        <x:v>REL-CON-001</x:v>
      </x:c>
      <x:c r="B3" t="str">
        <x:v>0.1.0</x:v>
      </x:c>
      <x:c r="C3" t="str">
        <x:v>Foundational Religious Constitution</x:v>
      </x:c>
      <x:c r="D3" t="str"/>
      <x:c r="E3" t="str"/>
      <x:c r="F3" s="18"/>
      <x:c r="G3" s="18"/>
      <x:c r="H3" t="str"/>
      <x:c r="I3" t="str">
        <x:v>DRAFT</x:v>
      </x:c>
      <x:c r="J3" t="str">
        <x:v>02-constitutional/REL-CON-001/</x:v>
      </x:c>
      <x:c r="K3" t="str"/>
      <x:c r="L3" t="str"/>
      <x:c r="M3" t="str"/>
      <x:c r="N3" t="str"/>
    </x:row>
    <x:row r="4">
      <x:c r="A4" t="str">
        <x:v>ECC-CON-001</x:v>
      </x:c>
      <x:c r="B4" t="str">
        <x:v>0.1.0</x:v>
      </x:c>
      <x:c r="C4" t="str">
        <x:v>Ecclesiastical Constitution</x:v>
      </x:c>
      <x:c r="D4" t="str"/>
      <x:c r="E4" t="str"/>
      <x:c r="F4" s="18"/>
      <x:c r="G4" s="18"/>
      <x:c r="H4" t="str"/>
      <x:c r="I4" t="str">
        <x:v>DRAFT</x:v>
      </x:c>
      <x:c r="J4" t="str">
        <x:v>02-constitutional/ECC-CON-001/</x:v>
      </x:c>
      <x:c r="K4" t="str"/>
      <x:c r="L4" t="str"/>
      <x:c r="M4" t="str"/>
      <x:c r="N4" t="str"/>
    </x:row>
    <x:row r="5">
      <x:c r="A5" t="str">
        <x:v>BYL-001</x:v>
      </x:c>
      <x:c r="B5" t="str">
        <x:v>0.1.0</x:v>
      </x:c>
      <x:c r="C5" t="str">
        <x:v>Civil Bylaws</x:v>
      </x:c>
      <x:c r="D5" t="str"/>
      <x:c r="E5" t="str"/>
      <x:c r="F5" s="18"/>
      <x:c r="G5" s="18"/>
      <x:c r="H5" t="str"/>
      <x:c r="I5" t="str">
        <x:v>DRAFT</x:v>
      </x:c>
      <x:c r="J5" t="str">
        <x:v>02-constitutional/BYL-001/</x:v>
      </x:c>
      <x:c r="K5" t="str"/>
      <x:c r="L5" t="str"/>
      <x:c r="M5" t="str"/>
      <x:c r="N5" t="str"/>
    </x:row>
    <x:row r="6">
      <x:c r="A6" t="str">
        <x:v>FOUND-TRANS-001</x:v>
      </x:c>
      <x:c r="B6" t="str">
        <x:v>0.1.0</x:v>
      </x:c>
      <x:c r="C6" t="str">
        <x:v>Founding Transition Schedule</x:v>
      </x:c>
      <x:c r="D6" t="str"/>
      <x:c r="E6" t="str"/>
      <x:c r="F6" s="18"/>
      <x:c r="G6" s="18"/>
      <x:c r="H6" t="str"/>
      <x:c r="I6" t="str">
        <x:v>DRAFT</x:v>
      </x:c>
      <x:c r="J6" t="str">
        <x:v>02-constitutional/FOUND-TRANS-001/</x:v>
      </x:c>
      <x:c r="K6" t="str"/>
      <x:c r="L6" t="str"/>
      <x:c r="M6" t="str"/>
      <x:c r="N6" t="str"/>
    </x:row>
    <x:row r="7">
      <x:c r="A7" t="str">
        <x:v>GOV-PROC-001</x:v>
      </x:c>
      <x:c r="B7" t="str">
        <x:v>0.1.0</x:v>
      </x:c>
      <x:c r="C7" t="str">
        <x:v>Governance Procedure Code</x:v>
      </x:c>
      <x:c r="D7" t="str"/>
      <x:c r="E7" t="str"/>
      <x:c r="F7" s="18"/>
      <x:c r="G7" s="18"/>
      <x:c r="H7" t="str"/>
      <x:c r="I7" t="str">
        <x:v>DRAFT</x:v>
      </x:c>
      <x:c r="J7" t="str">
        <x:v>02-constitutional/GOV-PROC-001/</x:v>
      </x:c>
      <x:c r="K7" t="str"/>
      <x:c r="L7" t="str"/>
      <x:c r="M7" t="str"/>
      <x:c r="N7" t="str"/>
    </x:row>
    <x:row r="8">
      <x:c r="A8" t="str">
        <x:v>JUR-001</x:v>
      </x:c>
      <x:c r="B8" t="str">
        <x:v>0.1.0</x:v>
      </x:c>
      <x:c r="C8" t="str">
        <x:v>Civil-Ecclesiastical Jurisdiction Code</x:v>
      </x:c>
      <x:c r="D8" t="str"/>
      <x:c r="E8" t="str"/>
      <x:c r="F8" s="18"/>
      <x:c r="G8" s="18"/>
      <x:c r="H8" t="str"/>
      <x:c r="I8" t="str">
        <x:v>DRAFT</x:v>
      </x:c>
      <x:c r="J8" t="str">
        <x:v>02-constitutional/JUR-001/</x:v>
      </x:c>
      <x:c r="K8" t="str"/>
      <x:c r="L8" t="str"/>
      <x:c r="M8" t="str"/>
      <x:c r="N8" t="str"/>
    </x:row>
    <x:row r="9">
      <x:c r="A9" t="str">
        <x:v>SAFE-001</x:v>
      </x:c>
      <x:c r="B9" t="str">
        <x:v>0.1.0</x:v>
      </x:c>
      <x:c r="C9" t="str">
        <x:v>Safeguarding and Accountability Framework</x:v>
      </x:c>
      <x:c r="D9" t="str"/>
      <x:c r="E9" t="str"/>
      <x:c r="F9" s="18"/>
      <x:c r="G9" s="18"/>
      <x:c r="H9" t="str"/>
      <x:c r="I9" t="str">
        <x:v>DRAFT</x:v>
      </x:c>
      <x:c r="J9" t="str">
        <x:v>02-constitutional/SAFE-001/</x:v>
      </x:c>
      <x:c r="K9" t="str"/>
      <x:c r="L9" t="str"/>
      <x:c r="M9" t="str"/>
      <x:c r="N9" t="str"/>
    </x:row>
    <x:row r="10">
      <x:c r="A10" t="str">
        <x:v>SUCC-001</x:v>
      </x:c>
      <x:c r="B10" t="str">
        <x:v>0.1.0</x:v>
      </x:c>
      <x:c r="C10" t="str">
        <x:v>Leadership Succession Code</x:v>
      </x:c>
      <x:c r="D10" t="str"/>
      <x:c r="E10" t="str"/>
      <x:c r="F10" s="18"/>
      <x:c r="G10" s="18"/>
      <x:c r="H10" t="str"/>
      <x:c r="I10" t="str">
        <x:v>DRAFT</x:v>
      </x:c>
      <x:c r="J10" t="str">
        <x:v>02-constitutional/SUCC-001/</x:v>
      </x:c>
      <x:c r="K10" t="str"/>
      <x:c r="L10" t="str"/>
      <x:c r="M10" t="str"/>
      <x:c r="N10" t="str"/>
    </x:row>
    <x:row r="11">
      <x:c r="A11" t="str">
        <x:v>DOC-001</x:v>
      </x:c>
      <x:c r="B11" t="str">
        <x:v>0.1.0</x:v>
      </x:c>
      <x:c r="C11" t="str">
        <x:v>Doctrine and Authoritative Teaching Code</x:v>
      </x:c>
      <x:c r="D11" t="str"/>
      <x:c r="E11" t="str"/>
      <x:c r="F11" s="18"/>
      <x:c r="G11" s="18"/>
      <x:c r="H11" t="str"/>
      <x:c r="I11" t="str">
        <x:v>DRAFT</x:v>
      </x:c>
      <x:c r="J11" t="str">
        <x:v>02-constitutional/DOC-001/</x:v>
      </x:c>
      <x:c r="K11" t="str"/>
      <x:c r="L11" t="str"/>
      <x:c r="M11" t="str"/>
      <x:c r="N11" t="str"/>
    </x:row>
    <x:row r="12">
      <x:c r="A12" t="str">
        <x:v>LOCAL-001</x:v>
      </x:c>
      <x:c r="B12" t="str">
        <x:v>0.1.0</x:v>
      </x:c>
      <x:c r="C12" t="str">
        <x:v>Local Community Constitutional Framework</x:v>
      </x:c>
      <x:c r="D12" t="str"/>
      <x:c r="E12" t="str"/>
      <x:c r="F12" s="18"/>
      <x:c r="G12" s="18"/>
      <x:c r="H12" t="str"/>
      <x:c r="I12" t="str">
        <x:v>DRAFT</x:v>
      </x:c>
      <x:c r="J12" t="str">
        <x:v>02-constitutional/LOCAL-001/</x:v>
      </x:c>
      <x:c r="K12" t="str"/>
      <x:c r="L12" t="str"/>
      <x:c r="M12" t="str"/>
      <x:c r="N12" t="str"/>
    </x:row>
    <x:row r="13">
      <x:c r="A13" t="str">
        <x:v>AFF-001</x:v>
      </x:c>
      <x:c r="B13" t="str">
        <x:v>0.1.0</x:v>
      </x:c>
      <x:c r="C13" t="str">
        <x:v>Affiliation and Disaffiliation Code</x:v>
      </x:c>
      <x:c r="D13" t="str"/>
      <x:c r="E13" t="str"/>
      <x:c r="F13" s="18"/>
      <x:c r="G13" s="18"/>
      <x:c r="H13" t="str"/>
      <x:c r="I13" t="str">
        <x:v>DRAFT</x:v>
      </x:c>
      <x:c r="J13" t="str">
        <x:v>02-constitutional/AFF-001/</x:v>
      </x:c>
      <x:c r="K13" t="str"/>
      <x:c r="L13" t="str"/>
      <x:c r="M13" t="str"/>
      <x:c r="N13" t="str"/>
    </x:row>
    <x:row r="14">
      <x:c r="F14" s="18"/>
      <x:c r="G14" s="18"/>
    </x:row>
    <x:row r="15">
      <x:c r="F15" s="18"/>
      <x:c r="G15" s="18"/>
    </x:row>
    <x:row r="16">
      <x:c r="F16" s="18"/>
      <x:c r="G16" s="18"/>
    </x:row>
    <x:row r="17">
      <x:c r="F17" s="18"/>
      <x:c r="G17" s="18"/>
    </x:row>
    <x:row r="18">
      <x:c r="F18" s="18"/>
      <x:c r="G18" s="18"/>
    </x:row>
    <x:row r="19">
      <x:c r="F19" s="18"/>
      <x:c r="G19" s="18"/>
    </x:row>
    <x:row r="20">
      <x:c r="F20" s="18"/>
      <x:c r="G20" s="18"/>
    </x:row>
    <x:row r="21">
      <x:c r="F21" s="18"/>
      <x:c r="G21" s="18"/>
    </x:row>
    <x:row r="22">
      <x:c r="F22" s="18"/>
      <x:c r="G22" s="18"/>
    </x:row>
    <x:row r="23">
      <x:c r="F23" s="18"/>
      <x:c r="G23" s="18"/>
    </x:row>
    <x:row r="24">
      <x:c r="F24" s="18"/>
      <x:c r="G24" s="18"/>
    </x:row>
    <x:row r="25">
      <x:c r="F25" s="18"/>
      <x:c r="G25" s="18"/>
    </x:row>
    <x:row r="26">
      <x:c r="F26" s="18"/>
      <x:c r="G26" s="18"/>
    </x:row>
    <x:row r="27">
      <x:c r="F27" s="18"/>
      <x:c r="G27" s="18"/>
    </x:row>
    <x:row r="28">
      <x:c r="F28" s="18"/>
      <x:c r="G28" s="18"/>
    </x:row>
    <x:row r="29">
      <x:c r="F29" s="18"/>
      <x:c r="G29" s="18"/>
    </x:row>
    <x:row r="30">
      <x:c r="F30" s="18"/>
      <x:c r="G30" s="18"/>
    </x:row>
    <x:row r="31">
      <x:c r="F31" s="18"/>
      <x:c r="G31" s="18"/>
    </x:row>
    <x:row r="32">
      <x:c r="F32" s="18"/>
      <x:c r="G32" s="18"/>
    </x:row>
    <x:row r="33">
      <x:c r="F33" s="18"/>
      <x:c r="G33" s="18"/>
    </x:row>
    <x:row r="34">
      <x:c r="F34" s="18"/>
      <x:c r="G34" s="18"/>
    </x:row>
    <x:row r="35">
      <x:c r="F35" s="18"/>
      <x:c r="G35" s="18"/>
    </x:row>
    <x:row r="36">
      <x:c r="F36" s="18"/>
      <x:c r="G36" s="18"/>
    </x:row>
    <x:row r="37">
      <x:c r="F37" s="18"/>
      <x:c r="G37" s="18"/>
    </x:row>
    <x:row r="38">
      <x:c r="F38" s="18"/>
      <x:c r="G38" s="18"/>
    </x:row>
    <x:row r="39">
      <x:c r="F39" s="18"/>
      <x:c r="G39" s="18"/>
    </x:row>
    <x:row r="40">
      <x:c r="F40" s="18"/>
      <x:c r="G40" s="18"/>
    </x:row>
    <x:row r="41">
      <x:c r="F41" s="18"/>
      <x:c r="G41" s="18"/>
    </x:row>
    <x:row r="42">
      <x:c r="F42" s="18"/>
      <x:c r="G42" s="18"/>
    </x:row>
    <x:row r="43">
      <x:c r="F43" s="18"/>
      <x:c r="G43" s="18"/>
    </x:row>
    <x:row r="44">
      <x:c r="F44" s="18"/>
      <x:c r="G44" s="18"/>
    </x:row>
    <x:row r="45">
      <x:c r="F45" s="18"/>
      <x:c r="G45" s="18"/>
    </x:row>
    <x:row r="46">
      <x:c r="F46" s="18"/>
      <x:c r="G46" s="18"/>
    </x:row>
    <x:row r="47">
      <x:c r="F47" s="18"/>
      <x:c r="G47" s="18"/>
    </x:row>
    <x:row r="48">
      <x:c r="F48" s="18"/>
      <x:c r="G48" s="18"/>
    </x:row>
    <x:row r="49">
      <x:c r="F49" s="18"/>
      <x:c r="G49" s="18"/>
    </x:row>
    <x:row r="50">
      <x:c r="F50" s="18"/>
      <x:c r="G50" s="18"/>
    </x:row>
    <x:row r="51">
      <x:c r="F51" s="18"/>
      <x:c r="G51" s="18"/>
    </x:row>
    <x:row r="52">
      <x:c r="F52" s="18"/>
      <x:c r="G52" s="18"/>
    </x:row>
    <x:row r="53">
      <x:c r="F53" s="18"/>
      <x:c r="G53" s="18"/>
    </x:row>
    <x:row r="54">
      <x:c r="F54" s="18"/>
      <x:c r="G54" s="18"/>
    </x:row>
    <x:row r="55">
      <x:c r="F55" s="18"/>
      <x:c r="G55" s="18"/>
    </x:row>
    <x:row r="56">
      <x:c r="F56" s="18"/>
      <x:c r="G56" s="18"/>
    </x:row>
    <x:row r="57">
      <x:c r="F57" s="18"/>
      <x:c r="G57" s="18"/>
    </x:row>
    <x:row r="58">
      <x:c r="F58" s="18"/>
      <x:c r="G58" s="18"/>
    </x:row>
    <x:row r="59">
      <x:c r="F59" s="18"/>
      <x:c r="G59" s="18"/>
    </x:row>
    <x:row r="60">
      <x:c r="F60" s="18"/>
      <x:c r="G60" s="18"/>
    </x:row>
    <x:row r="61">
      <x:c r="F61" s="18"/>
      <x:c r="G61" s="18"/>
    </x:row>
    <x:row r="62">
      <x:c r="F62" s="18"/>
      <x:c r="G62" s="18"/>
    </x:row>
    <x:row r="63">
      <x:c r="F63" s="18"/>
      <x:c r="G63" s="18"/>
    </x:row>
    <x:row r="64">
      <x:c r="F64" s="18"/>
      <x:c r="G64" s="18"/>
    </x:row>
    <x:row r="65">
      <x:c r="F65" s="18"/>
      <x:c r="G65" s="18"/>
    </x:row>
    <x:row r="66">
      <x:c r="F66" s="18"/>
      <x:c r="G66" s="18"/>
    </x:row>
    <x:row r="67">
      <x:c r="F67" s="18"/>
      <x:c r="G67" s="18"/>
    </x:row>
    <x:row r="68">
      <x:c r="F68" s="18"/>
      <x:c r="G68" s="18"/>
    </x:row>
    <x:row r="69">
      <x:c r="F69" s="18"/>
      <x:c r="G69" s="18"/>
    </x:row>
    <x:row r="70">
      <x:c r="F70" s="18"/>
      <x:c r="G70" s="18"/>
    </x:row>
    <x:row r="71">
      <x:c r="F71" s="18"/>
      <x:c r="G71" s="18"/>
    </x:row>
    <x:row r="72">
      <x:c r="F72" s="18"/>
      <x:c r="G72" s="18"/>
    </x:row>
    <x:row r="73">
      <x:c r="F73" s="18"/>
      <x:c r="G73" s="18"/>
    </x:row>
    <x:row r="74">
      <x:c r="F74" s="18"/>
      <x:c r="G74" s="18"/>
    </x:row>
    <x:row r="75">
      <x:c r="F75" s="18"/>
      <x:c r="G75" s="18"/>
    </x:row>
    <x:row r="76">
      <x:c r="F76" s="18"/>
      <x:c r="G76" s="18"/>
    </x:row>
    <x:row r="77">
      <x:c r="F77" s="18"/>
      <x:c r="G77" s="18"/>
    </x:row>
    <x:row r="78">
      <x:c r="F78" s="18"/>
      <x:c r="G78" s="18"/>
    </x:row>
    <x:row r="79">
      <x:c r="F79" s="18"/>
      <x:c r="G79" s="18"/>
    </x:row>
    <x:row r="80">
      <x:c r="F80" s="18"/>
      <x:c r="G80" s="18"/>
    </x:row>
    <x:row r="81">
      <x:c r="F81" s="18"/>
      <x:c r="G81" s="18"/>
    </x:row>
    <x:row r="82">
      <x:c r="F82" s="18"/>
      <x:c r="G82" s="18"/>
    </x:row>
    <x:row r="83">
      <x:c r="F83" s="18"/>
      <x:c r="G83" s="18"/>
    </x:row>
    <x:row r="84">
      <x:c r="F84" s="18"/>
      <x:c r="G84" s="18"/>
    </x:row>
    <x:row r="85">
      <x:c r="F85" s="18"/>
      <x:c r="G85" s="18"/>
    </x:row>
    <x:row r="86">
      <x:c r="F86" s="18"/>
      <x:c r="G86" s="18"/>
    </x:row>
    <x:row r="87">
      <x:c r="F87" s="18"/>
      <x:c r="G87" s="18"/>
    </x:row>
    <x:row r="88">
      <x:c r="F88" s="18"/>
      <x:c r="G88" s="18"/>
    </x:row>
    <x:row r="89">
      <x:c r="F89" s="18"/>
      <x:c r="G89" s="18"/>
    </x:row>
    <x:row r="90">
      <x:c r="F90" s="18"/>
      <x:c r="G90" s="18"/>
    </x:row>
    <x:row r="91">
      <x:c r="F91" s="18"/>
      <x:c r="G91" s="18"/>
    </x:row>
    <x:row r="92">
      <x:c r="F92" s="18"/>
      <x:c r="G92" s="18"/>
    </x:row>
    <x:row r="93">
      <x:c r="F93" s="18"/>
      <x:c r="G93" s="18"/>
    </x:row>
    <x:row r="94">
      <x:c r="F94" s="18"/>
      <x:c r="G94" s="18"/>
    </x:row>
    <x:row r="95">
      <x:c r="F95" s="18"/>
      <x:c r="G95" s="18"/>
    </x:row>
    <x:row r="96">
      <x:c r="F96" s="18"/>
      <x:c r="G96" s="18"/>
    </x:row>
    <x:row r="97">
      <x:c r="F97" s="18"/>
      <x:c r="G97" s="18"/>
    </x:row>
    <x:row r="98">
      <x:c r="F98" s="18"/>
      <x:c r="G98" s="18"/>
    </x:row>
    <x:row r="99">
      <x:c r="F99" s="18"/>
      <x:c r="G99" s="18"/>
    </x:row>
    <x:row r="100">
      <x:c r="F100" s="18"/>
      <x:c r="G100" s="18"/>
    </x:row>
    <x:row r="101">
      <x:c r="F101" s="18"/>
      <x:c r="G101" s="18"/>
    </x:row>
    <x:row r="102">
      <x:c r="F102" s="18"/>
      <x:c r="G102" s="18"/>
    </x:row>
    <x:row r="103">
      <x:c r="F103" s="18"/>
      <x:c r="G103" s="18"/>
    </x:row>
    <x:row r="104">
      <x:c r="F104" s="18"/>
      <x:c r="G104" s="18"/>
    </x:row>
    <x:row r="105">
      <x:c r="F105" s="18"/>
      <x:c r="G105" s="18"/>
    </x:row>
    <x:row r="106">
      <x:c r="F106" s="18"/>
      <x:c r="G106" s="18"/>
    </x:row>
    <x:row r="107">
      <x:c r="F107" s="18"/>
      <x:c r="G107" s="18"/>
    </x:row>
    <x:row r="108">
      <x:c r="F108" s="18"/>
      <x:c r="G108" s="18"/>
    </x:row>
    <x:row r="109">
      <x:c r="F109" s="18"/>
      <x:c r="G109" s="18"/>
    </x:row>
    <x:row r="110">
      <x:c r="F110" s="18"/>
      <x:c r="G110" s="18"/>
    </x:row>
    <x:row r="111">
      <x:c r="F111" s="18"/>
      <x:c r="G111" s="18"/>
    </x:row>
    <x:row r="112">
      <x:c r="F112" s="18"/>
      <x:c r="G112" s="18"/>
    </x:row>
    <x:row r="113">
      <x:c r="F113" s="18"/>
      <x:c r="G113" s="18"/>
    </x:row>
    <x:row r="114">
      <x:c r="F114" s="18"/>
      <x:c r="G114" s="18"/>
    </x:row>
    <x:row r="115">
      <x:c r="F115" s="18"/>
      <x:c r="G115" s="18"/>
    </x:row>
    <x:row r="116">
      <x:c r="F116" s="18"/>
      <x:c r="G116" s="18"/>
    </x:row>
    <x:row r="117">
      <x:c r="F117" s="18"/>
      <x:c r="G117" s="18"/>
    </x:row>
    <x:row r="118">
      <x:c r="F118" s="18"/>
      <x:c r="G118" s="18"/>
    </x:row>
    <x:row r="119">
      <x:c r="F119" s="18"/>
      <x:c r="G119" s="18"/>
    </x:row>
    <x:row r="120">
      <x:c r="F120" s="18"/>
      <x:c r="G120" s="18"/>
    </x:row>
    <x:row r="121">
      <x:c r="F121" s="18"/>
      <x:c r="G121" s="18"/>
    </x:row>
    <x:row r="122">
      <x:c r="F122" s="18"/>
      <x:c r="G122" s="18"/>
    </x:row>
    <x:row r="123">
      <x:c r="F123" s="18"/>
      <x:c r="G123" s="18"/>
    </x:row>
    <x:row r="124">
      <x:c r="F124" s="18"/>
      <x:c r="G124" s="18"/>
    </x:row>
    <x:row r="125">
      <x:c r="F125" s="18"/>
      <x:c r="G125" s="18"/>
    </x:row>
    <x:row r="126">
      <x:c r="F126" s="18"/>
      <x:c r="G126" s="18"/>
    </x:row>
    <x:row r="127">
      <x:c r="F127" s="18"/>
      <x:c r="G127" s="18"/>
    </x:row>
    <x:row r="128">
      <x:c r="F128" s="18"/>
      <x:c r="G128" s="18"/>
    </x:row>
    <x:row r="129">
      <x:c r="F129" s="18"/>
      <x:c r="G129" s="18"/>
    </x:row>
    <x:row r="130">
      <x:c r="F130" s="18"/>
      <x:c r="G130" s="18"/>
    </x:row>
    <x:row r="131">
      <x:c r="F131" s="18"/>
      <x:c r="G131" s="18"/>
    </x:row>
    <x:row r="132">
      <x:c r="F132" s="18"/>
      <x:c r="G132" s="18"/>
    </x:row>
    <x:row r="133">
      <x:c r="F133" s="18"/>
      <x:c r="G133" s="18"/>
    </x:row>
    <x:row r="134">
      <x:c r="F134" s="18"/>
      <x:c r="G134" s="18"/>
    </x:row>
    <x:row r="135">
      <x:c r="F135" s="18"/>
      <x:c r="G135" s="18"/>
    </x:row>
    <x:row r="136">
      <x:c r="F136" s="18"/>
      <x:c r="G136" s="18"/>
    </x:row>
    <x:row r="137">
      <x:c r="F137" s="18"/>
      <x:c r="G137" s="18"/>
    </x:row>
    <x:row r="138">
      <x:c r="F138" s="18"/>
      <x:c r="G138" s="18"/>
    </x:row>
    <x:row r="139">
      <x:c r="F139" s="18"/>
      <x:c r="G139" s="18"/>
    </x:row>
    <x:row r="140">
      <x:c r="F140" s="18"/>
      <x:c r="G140" s="18"/>
    </x:row>
    <x:row r="141">
      <x:c r="F141" s="18"/>
      <x:c r="G141" s="18"/>
    </x:row>
    <x:row r="142">
      <x:c r="F142" s="18"/>
      <x:c r="G142" s="18"/>
    </x:row>
    <x:row r="143">
      <x:c r="F143" s="18"/>
      <x:c r="G143" s="18"/>
    </x:row>
    <x:row r="144">
      <x:c r="F144" s="18"/>
      <x:c r="G144" s="18"/>
    </x:row>
    <x:row r="145">
      <x:c r="F145" s="18"/>
      <x:c r="G145" s="18"/>
    </x:row>
    <x:row r="146">
      <x:c r="F146" s="18"/>
      <x:c r="G146" s="18"/>
    </x:row>
    <x:row r="147">
      <x:c r="F147" s="18"/>
      <x:c r="G147" s="18"/>
    </x:row>
    <x:row r="148">
      <x:c r="F148" s="18"/>
      <x:c r="G148" s="18"/>
    </x:row>
    <x:row r="149">
      <x:c r="F149" s="18"/>
      <x:c r="G149" s="18"/>
    </x:row>
    <x:row r="150">
      <x:c r="F150" s="18"/>
      <x:c r="G150" s="18"/>
    </x:row>
    <x:row r="151">
      <x:c r="F151" s="18"/>
      <x:c r="G151" s="18"/>
    </x:row>
    <x:row r="152">
      <x:c r="F152" s="18"/>
      <x:c r="G152" s="18"/>
    </x:row>
    <x:row r="153">
      <x:c r="F153" s="18"/>
      <x:c r="G153" s="18"/>
    </x:row>
    <x:row r="154">
      <x:c r="F154" s="18"/>
      <x:c r="G154" s="18"/>
    </x:row>
    <x:row r="155">
      <x:c r="F155" s="18"/>
      <x:c r="G155" s="18"/>
    </x:row>
    <x:row r="156">
      <x:c r="F156" s="18"/>
      <x:c r="G156" s="18"/>
    </x:row>
    <x:row r="157">
      <x:c r="F157" s="18"/>
      <x:c r="G157" s="18"/>
    </x:row>
    <x:row r="158">
      <x:c r="F158" s="18"/>
      <x:c r="G158" s="18"/>
    </x:row>
    <x:row r="159">
      <x:c r="F159" s="18"/>
      <x:c r="G159" s="18"/>
    </x:row>
    <x:row r="160">
      <x:c r="F160" s="18"/>
      <x:c r="G160" s="18"/>
    </x:row>
    <x:row r="161">
      <x:c r="F161" s="18"/>
      <x:c r="G161" s="18"/>
    </x:row>
    <x:row r="162">
      <x:c r="F162" s="18"/>
      <x:c r="G162" s="18"/>
    </x:row>
    <x:row r="163">
      <x:c r="F163" s="18"/>
      <x:c r="G163" s="18"/>
    </x:row>
    <x:row r="164">
      <x:c r="F164" s="18"/>
      <x:c r="G164" s="18"/>
    </x:row>
    <x:row r="165">
      <x:c r="F165" s="18"/>
      <x:c r="G165" s="18"/>
    </x:row>
    <x:row r="166">
      <x:c r="F166" s="18"/>
      <x:c r="G166" s="18"/>
    </x:row>
    <x:row r="167">
      <x:c r="F167" s="18"/>
      <x:c r="G167" s="18"/>
    </x:row>
    <x:row r="168">
      <x:c r="F168" s="18"/>
      <x:c r="G168" s="18"/>
    </x:row>
    <x:row r="169">
      <x:c r="F169" s="18"/>
      <x:c r="G169" s="18"/>
    </x:row>
    <x:row r="170">
      <x:c r="F170" s="18"/>
      <x:c r="G170" s="18"/>
    </x:row>
    <x:row r="171">
      <x:c r="F171" s="18"/>
      <x:c r="G171" s="18"/>
    </x:row>
    <x:row r="172">
      <x:c r="F172" s="18"/>
      <x:c r="G172" s="18"/>
    </x:row>
    <x:row r="173">
      <x:c r="F173" s="18"/>
      <x:c r="G173" s="18"/>
    </x:row>
    <x:row r="174">
      <x:c r="F174" s="18"/>
      <x:c r="G174" s="18"/>
    </x:row>
    <x:row r="175">
      <x:c r="F175" s="18"/>
      <x:c r="G175" s="18"/>
    </x:row>
    <x:row r="176">
      <x:c r="F176" s="18"/>
      <x:c r="G176" s="18"/>
    </x:row>
    <x:row r="177">
      <x:c r="F177" s="18"/>
      <x:c r="G177" s="18"/>
    </x:row>
    <x:row r="178">
      <x:c r="F178" s="18"/>
      <x:c r="G178" s="18"/>
    </x:row>
    <x:row r="179">
      <x:c r="F179" s="18"/>
      <x:c r="G179" s="18"/>
    </x:row>
    <x:row r="180">
      <x:c r="F180" s="18"/>
      <x:c r="G180" s="18"/>
    </x:row>
    <x:row r="181">
      <x:c r="F181" s="18"/>
      <x:c r="G181" s="18"/>
    </x:row>
    <x:row r="182">
      <x:c r="F182" s="18"/>
      <x:c r="G182" s="18"/>
    </x:row>
    <x:row r="183">
      <x:c r="F183" s="18"/>
      <x:c r="G183" s="18"/>
    </x:row>
    <x:row r="184">
      <x:c r="F184" s="18"/>
      <x:c r="G184" s="18"/>
    </x:row>
    <x:row r="185">
      <x:c r="F185" s="18"/>
      <x:c r="G185" s="18"/>
    </x:row>
    <x:row r="186">
      <x:c r="F186" s="18"/>
      <x:c r="G186" s="18"/>
    </x:row>
    <x:row r="187">
      <x:c r="F187" s="18"/>
      <x:c r="G187" s="18"/>
    </x:row>
    <x:row r="188">
      <x:c r="F188" s="18"/>
      <x:c r="G188" s="18"/>
    </x:row>
    <x:row r="189">
      <x:c r="F189" s="18"/>
      <x:c r="G189" s="18"/>
    </x:row>
    <x:row r="190">
      <x:c r="F190" s="18"/>
      <x:c r="G190" s="18"/>
    </x:row>
    <x:row r="191">
      <x:c r="F191" s="18"/>
      <x:c r="G191" s="18"/>
    </x:row>
    <x:row r="192">
      <x:c r="F192" s="18"/>
      <x:c r="G192" s="18"/>
    </x:row>
    <x:row r="193">
      <x:c r="F193" s="18"/>
      <x:c r="G193" s="18"/>
    </x:row>
    <x:row r="194">
      <x:c r="F194" s="18"/>
      <x:c r="G194" s="18"/>
    </x:row>
    <x:row r="195">
      <x:c r="F195" s="18"/>
      <x:c r="G195" s="18"/>
    </x:row>
    <x:row r="196">
      <x:c r="F196" s="18"/>
      <x:c r="G196" s="18"/>
    </x:row>
    <x:row r="197">
      <x:c r="F197" s="18"/>
      <x:c r="G197" s="18"/>
    </x:row>
    <x:row r="198">
      <x:c r="F198" s="18"/>
      <x:c r="G198" s="18"/>
    </x:row>
    <x:row r="199">
      <x:c r="F199" s="18"/>
      <x:c r="G199" s="18"/>
    </x:row>
    <x:row r="200">
      <x:c r="F200" s="18"/>
      <x:c r="G200" s="18"/>
    </x:row>
    <x:row r="201">
      <x:c r="F201" s="18"/>
      <x:c r="G201" s="18"/>
    </x:row>
    <x:row r="202">
      <x:c r="F202" s="18"/>
      <x:c r="G202" s="18"/>
    </x:row>
    <x:row r="203">
      <x:c r="F203" s="18"/>
      <x:c r="G203" s="18"/>
    </x:row>
    <x:row r="204">
      <x:c r="F204" s="18"/>
      <x:c r="G204" s="18"/>
    </x:row>
    <x:row r="205">
      <x:c r="F205" s="18"/>
      <x:c r="G205" s="18"/>
    </x:row>
    <x:row r="206">
      <x:c r="F206" s="18"/>
      <x:c r="G206" s="18"/>
    </x:row>
    <x:row r="207">
      <x:c r="F207" s="18"/>
      <x:c r="G207" s="18"/>
    </x:row>
    <x:row r="208">
      <x:c r="F208" s="18"/>
      <x:c r="G208" s="18"/>
    </x:row>
    <x:row r="209">
      <x:c r="F209" s="18"/>
      <x:c r="G209" s="18"/>
    </x:row>
    <x:row r="210">
      <x:c r="F210" s="18"/>
      <x:c r="G210" s="18"/>
    </x:row>
    <x:row r="211">
      <x:c r="F211" s="18"/>
      <x:c r="G211" s="18"/>
    </x:row>
    <x:row r="212">
      <x:c r="F212" s="18"/>
      <x:c r="G212" s="18"/>
    </x:row>
    <x:row r="213">
      <x:c r="F213" s="18"/>
      <x:c r="G213" s="18"/>
    </x:row>
    <x:row r="214">
      <x:c r="F214" s="18"/>
      <x:c r="G214" s="18"/>
    </x:row>
    <x:row r="215">
      <x:c r="F215" s="18"/>
      <x:c r="G215" s="18"/>
    </x:row>
    <x:row r="216">
      <x:c r="F216" s="18"/>
      <x:c r="G216" s="18"/>
    </x:row>
    <x:row r="217">
      <x:c r="F217" s="18"/>
      <x:c r="G217" s="18"/>
    </x:row>
    <x:row r="218">
      <x:c r="F218" s="18"/>
      <x:c r="G218" s="18"/>
    </x:row>
    <x:row r="219">
      <x:c r="F219" s="18"/>
      <x:c r="G219" s="18"/>
    </x:row>
    <x:row r="220">
      <x:c r="F220" s="18"/>
      <x:c r="G220" s="18"/>
    </x:row>
    <x:row r="221">
      <x:c r="F221" s="18"/>
      <x:c r="G221" s="18"/>
    </x:row>
    <x:row r="222">
      <x:c r="F222" s="18"/>
      <x:c r="G222" s="18"/>
    </x:row>
    <x:row r="223">
      <x:c r="F223" s="18"/>
      <x:c r="G223" s="18"/>
    </x:row>
    <x:row r="224">
      <x:c r="F224" s="18"/>
      <x:c r="G224" s="18"/>
    </x:row>
    <x:row r="225">
      <x:c r="F225" s="18"/>
      <x:c r="G225" s="18"/>
    </x:row>
    <x:row r="226">
      <x:c r="F226" s="18"/>
      <x:c r="G226" s="18"/>
    </x:row>
    <x:row r="227">
      <x:c r="F227" s="18"/>
      <x:c r="G227" s="18"/>
    </x:row>
    <x:row r="228">
      <x:c r="F228" s="18"/>
      <x:c r="G228" s="18"/>
    </x:row>
    <x:row r="229">
      <x:c r="F229" s="18"/>
      <x:c r="G229" s="18"/>
    </x:row>
    <x:row r="230">
      <x:c r="F230" s="18"/>
      <x:c r="G230" s="18"/>
    </x:row>
    <x:row r="231">
      <x:c r="F231" s="18"/>
      <x:c r="G231" s="18"/>
    </x:row>
    <x:row r="232">
      <x:c r="F232" s="18"/>
      <x:c r="G232" s="18"/>
    </x:row>
    <x:row r="233">
      <x:c r="F233" s="18"/>
      <x:c r="G233" s="18"/>
    </x:row>
    <x:row r="234">
      <x:c r="F234" s="18"/>
      <x:c r="G234" s="18"/>
    </x:row>
    <x:row r="235">
      <x:c r="F235" s="18"/>
      <x:c r="G235" s="18"/>
    </x:row>
    <x:row r="236">
      <x:c r="F236" s="18"/>
      <x:c r="G236" s="18"/>
    </x:row>
    <x:row r="237">
      <x:c r="F237" s="18"/>
      <x:c r="G237" s="18"/>
    </x:row>
    <x:row r="238">
      <x:c r="F238" s="18"/>
      <x:c r="G238" s="18"/>
    </x:row>
    <x:row r="239">
      <x:c r="F239" s="18"/>
      <x:c r="G239" s="18"/>
    </x:row>
    <x:row r="240">
      <x:c r="F240" s="18"/>
      <x:c r="G240" s="18"/>
    </x:row>
    <x:row r="241">
      <x:c r="F241" s="18"/>
      <x:c r="G241" s="18"/>
    </x:row>
    <x:row r="242">
      <x:c r="F242" s="18"/>
      <x:c r="G242" s="18"/>
    </x:row>
    <x:row r="243">
      <x:c r="F243" s="18"/>
      <x:c r="G243" s="18"/>
    </x:row>
    <x:row r="244">
      <x:c r="F244" s="18"/>
      <x:c r="G244" s="18"/>
    </x:row>
    <x:row r="245">
      <x:c r="F245" s="18"/>
      <x:c r="G245" s="18"/>
    </x:row>
    <x:row r="246">
      <x:c r="F246" s="18"/>
      <x:c r="G246" s="18"/>
    </x:row>
    <x:row r="247">
      <x:c r="F247" s="18"/>
      <x:c r="G247" s="18"/>
    </x:row>
    <x:row r="248">
      <x:c r="F248" s="18"/>
      <x:c r="G248" s="18"/>
    </x:row>
    <x:row r="249">
      <x:c r="F249" s="18"/>
      <x:c r="G249" s="18"/>
    </x:row>
    <x:row r="250">
      <x:c r="F250" s="18"/>
      <x:c r="G250" s="18"/>
    </x:row>
    <x:row r="251">
      <x:c r="F251" s="18"/>
      <x:c r="G251" s="18"/>
    </x:row>
    <x:row r="252">
      <x:c r="F252" s="18"/>
      <x:c r="G252" s="18"/>
    </x:row>
    <x:row r="253">
      <x:c r="F253" s="18"/>
      <x:c r="G253" s="18"/>
    </x:row>
    <x:row r="254">
      <x:c r="F254" s="18"/>
      <x:c r="G254" s="18"/>
    </x:row>
    <x:row r="255">
      <x:c r="F255" s="18"/>
      <x:c r="G255" s="18"/>
    </x:row>
    <x:row r="256">
      <x:c r="F256" s="18"/>
      <x:c r="G256" s="18"/>
    </x:row>
    <x:row r="257">
      <x:c r="F257" s="18"/>
      <x:c r="G257" s="18"/>
    </x:row>
    <x:row r="258">
      <x:c r="F258" s="18"/>
      <x:c r="G258" s="18"/>
    </x:row>
    <x:row r="259">
      <x:c r="F259" s="18"/>
      <x:c r="G259" s="18"/>
    </x:row>
    <x:row r="260">
      <x:c r="F260" s="18"/>
      <x:c r="G260" s="18"/>
    </x:row>
    <x:row r="261">
      <x:c r="F261" s="18"/>
      <x:c r="G261" s="18"/>
    </x:row>
    <x:row r="262">
      <x:c r="F262" s="18"/>
      <x:c r="G262" s="18"/>
    </x:row>
    <x:row r="263">
      <x:c r="F263" s="18"/>
      <x:c r="G263" s="18"/>
    </x:row>
    <x:row r="264">
      <x:c r="F264" s="18"/>
      <x:c r="G264" s="18"/>
    </x:row>
    <x:row r="265">
      <x:c r="F265" s="18"/>
      <x:c r="G265" s="18"/>
    </x:row>
    <x:row r="266">
      <x:c r="F266" s="18"/>
      <x:c r="G266" s="18"/>
    </x:row>
    <x:row r="267">
      <x:c r="F267" s="18"/>
      <x:c r="G267" s="18"/>
    </x:row>
    <x:row r="268">
      <x:c r="F268" s="18"/>
      <x:c r="G268" s="18"/>
    </x:row>
    <x:row r="269">
      <x:c r="F269" s="18"/>
      <x:c r="G269" s="18"/>
    </x:row>
    <x:row r="270">
      <x:c r="F270" s="18"/>
      <x:c r="G270" s="18"/>
    </x:row>
    <x:row r="271">
      <x:c r="F271" s="18"/>
      <x:c r="G271" s="18"/>
    </x:row>
    <x:row r="272">
      <x:c r="F272" s="18"/>
      <x:c r="G272" s="18"/>
    </x:row>
    <x:row r="273">
      <x:c r="F273" s="18"/>
      <x:c r="G273" s="18"/>
    </x:row>
    <x:row r="274">
      <x:c r="F274" s="18"/>
      <x:c r="G274" s="18"/>
    </x:row>
    <x:row r="275">
      <x:c r="F275" s="18"/>
      <x:c r="G275" s="18"/>
    </x:row>
    <x:row r="276">
      <x:c r="F276" s="18"/>
      <x:c r="G276" s="18"/>
    </x:row>
    <x:row r="277">
      <x:c r="F277" s="18"/>
      <x:c r="G277" s="18"/>
    </x:row>
    <x:row r="278">
      <x:c r="F278" s="18"/>
      <x:c r="G278" s="18"/>
    </x:row>
    <x:row r="279">
      <x:c r="F279" s="18"/>
      <x:c r="G279" s="18"/>
    </x:row>
    <x:row r="280">
      <x:c r="F280" s="18"/>
      <x:c r="G280" s="18"/>
    </x:row>
    <x:row r="281">
      <x:c r="F281" s="18"/>
      <x:c r="G281" s="18"/>
    </x:row>
    <x:row r="282">
      <x:c r="F282" s="18"/>
      <x:c r="G282" s="18"/>
    </x:row>
    <x:row r="283">
      <x:c r="F283" s="18"/>
      <x:c r="G283" s="18"/>
    </x:row>
    <x:row r="284">
      <x:c r="F284" s="18"/>
      <x:c r="G284" s="18"/>
    </x:row>
    <x:row r="285">
      <x:c r="F285" s="18"/>
      <x:c r="G285" s="18"/>
    </x:row>
    <x:row r="286">
      <x:c r="F286" s="18"/>
      <x:c r="G286" s="18"/>
    </x:row>
    <x:row r="287">
      <x:c r="F287" s="18"/>
      <x:c r="G287" s="18"/>
    </x:row>
    <x:row r="288">
      <x:c r="F288" s="18"/>
      <x:c r="G288" s="18"/>
    </x:row>
    <x:row r="289">
      <x:c r="F289" s="18"/>
      <x:c r="G289" s="18"/>
    </x:row>
    <x:row r="290">
      <x:c r="F290" s="18"/>
      <x:c r="G290" s="18"/>
    </x:row>
    <x:row r="291">
      <x:c r="F291" s="18"/>
      <x:c r="G291" s="18"/>
    </x:row>
    <x:row r="292">
      <x:c r="F292" s="18"/>
      <x:c r="G292" s="18"/>
    </x:row>
    <x:row r="293">
      <x:c r="F293" s="18"/>
      <x:c r="G293" s="18"/>
    </x:row>
    <x:row r="294">
      <x:c r="F294" s="18"/>
      <x:c r="G294" s="18"/>
    </x:row>
    <x:row r="295">
      <x:c r="F295" s="18"/>
      <x:c r="G295" s="18"/>
    </x:row>
    <x:row r="296">
      <x:c r="F296" s="18"/>
      <x:c r="G296" s="18"/>
    </x:row>
    <x:row r="297">
      <x:c r="F297" s="18"/>
      <x:c r="G297" s="18"/>
    </x:row>
    <x:row r="298">
      <x:c r="F298" s="18"/>
      <x:c r="G298" s="18"/>
    </x:row>
    <x:row r="299">
      <x:c r="F299" s="18"/>
      <x:c r="G299" s="18"/>
    </x:row>
    <x:row r="300">
      <x:c r="F300" s="18"/>
      <x:c r="G300" s="18"/>
    </x:row>
  </x:sheetData>
  <x:mergeCells>
    <x:mergeCell ref="A1:N1"/>
  </x:mergeCells>
  <x:dataValidations count="1">
    <x:dataValidation type="list" sqref="I3:I300">
      <x:formula1>"DRAFT,ADOPTED,ADOPTED - NOT YET ACTIVATED,OPERATIONAL,SUPERSEDED,REPEALED,VOID / INVALID"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23" hidden="0" customWidth="1"/>
    <x:col min="7" max="7" width="23" hidden="0" customWidth="1"/>
    <x:col min="8" max="8" width="23" hidden="0" customWidth="1"/>
    <x:col min="9" max="9" width="34" hidden="0" customWidth="1"/>
  </x:cols>
  <x:sheetData>
    <x:row r="1">
      <x:c r="A1" s="4" t="str">
        <x:v>Dependency-Aware Adoption Matrix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2" t="str">
        <x:v>Sequence</x:v>
      </x:c>
      <x:c r="B2" s="12" t="str">
        <x:v>Instrument / Action</x:v>
      </x:c>
      <x:c r="C2" s="12" t="str">
        <x:v>Primary Authority</x:v>
      </x:c>
      <x:c r="D2" s="12" t="str">
        <x:v>Required Concurrence</x:v>
      </x:c>
      <x:c r="E2" s="12" t="str">
        <x:v>Prerequisites</x:v>
      </x:c>
      <x:c r="F2" s="12" t="str">
        <x:v>Post-Adoption Status</x:v>
      </x:c>
      <x:c r="G2" s="12" t="str">
        <x:v>Activation Trigger</x:v>
      </x:c>
      <x:c r="H2" s="12" t="str">
        <x:v>Decision ID</x:v>
      </x:c>
      <x:c r="I2" s="12" t="str">
        <x:v>Notes</x:v>
      </x:c>
    </x:row>
    <x:row r="3">
      <x:c r="A3" t="n">
        <x:v>1</x:v>
      </x:c>
      <x:c r="B3" t="str">
        <x:v>Filed Charter / Civil Entity</x:v>
      </x:c>
      <x:c r="C3" t="str">
        <x:v>Incorporator / state filing process</x:v>
      </x:c>
      <x:c r="D3" t="str">
        <x:v>N/A</x:v>
      </x:c>
      <x:c r="E3" t="str">
        <x:v>Final legal name and charter data</x:v>
      </x:c>
      <x:c r="F3" t="str">
        <x:v>EFFECTIVE</x:v>
      </x:c>
      <x:c r="G3" t="str">
        <x:v>State acceptance</x:v>
      </x:c>
      <x:c r="H3" t="str"/>
      <x:c r="I3" t="str"/>
    </x:row>
    <x:row r="4">
      <x:c r="A4" t="n">
        <x:v>2</x:v>
      </x:c>
      <x:c r="B4" t="str">
        <x:v>BOARD-ACT-001 Organizational Action</x:v>
      </x:c>
      <x:c r="C4" t="str">
        <x:v>Incorporator or Initial Board as legally authorized</x:v>
      </x:c>
      <x:c r="D4" t="str">
        <x:v>N/A</x:v>
      </x:c>
      <x:c r="E4" t="str">
        <x:v>Civil entity exists</x:v>
      </x:c>
      <x:c r="F4" t="str">
        <x:v>COMPLETED</x:v>
      </x:c>
      <x:c r="G4" t="str">
        <x:v>Actual action taken</x:v>
      </x:c>
      <x:c r="H4" t="str"/>
      <x:c r="I4" t="str"/>
    </x:row>
    <x:row r="5">
      <x:c r="A5" t="n">
        <x:v>3</x:v>
      </x:c>
      <x:c r="B5" t="str">
        <x:v>BYL-001</x:v>
      </x:c>
      <x:c r="C5" t="str">
        <x:v>Civil Board / lawful organizer</x:v>
      </x:c>
      <x:c r="D5" t="str">
        <x:v>As required by charter/law</x:v>
      </x:c>
      <x:c r="E5" t="str">
        <x:v>Board authority confirmed</x:v>
      </x:c>
      <x:c r="F5" t="str">
        <x:v>ADOPTED / OPERATIONAL</x:v>
      </x:c>
      <x:c r="G5" t="str">
        <x:v>Immediate civil governance</x:v>
      </x:c>
      <x:c r="H5" t="str"/>
      <x:c r="I5" t="str"/>
    </x:row>
    <x:row r="6">
      <x:c r="A6" t="n">
        <x:v>4</x:v>
      </x:c>
      <x:c r="B6" t="str">
        <x:v>REL-CON-001</x:v>
      </x:c>
      <x:c r="C6" t="str">
        <x:v>Founding ecclesiastical authority</x:v>
      </x:c>
      <x:c r="D6" t="str">
        <x:v>Required founding/community concurrence if any</x:v>
      </x:c>
      <x:c r="E6" t="str">
        <x:v>Religious founding act</x:v>
      </x:c>
      <x:c r="F6" t="str">
        <x:v>ADOPTED</x:v>
      </x:c>
      <x:c r="G6" t="str">
        <x:v>Constitutive religious order</x:v>
      </x:c>
      <x:c r="H6" t="str"/>
      <x:c r="I6" t="str"/>
    </x:row>
    <x:row r="7">
      <x:c r="A7" t="n">
        <x:v>5</x:v>
      </x:c>
      <x:c r="B7" t="str">
        <x:v>ECC-CON-001</x:v>
      </x:c>
      <x:c r="C7" t="str">
        <x:v>Founding ecclesiastical authority</x:v>
      </x:c>
      <x:c r="D7" t="str">
        <x:v>As required by REL-CON-001</x:v>
      </x:c>
      <x:c r="E7" t="str">
        <x:v>REL-CON-001</x:v>
      </x:c>
      <x:c r="F7" t="str">
        <x:v>ADOPTED</x:v>
      </x:c>
      <x:c r="G7" t="str">
        <x:v>Immediate ecclesiastical governance</x:v>
      </x:c>
      <x:c r="H7" t="str"/>
      <x:c r="I7" t="str"/>
    </x:row>
    <x:row r="8">
      <x:c r="A8" t="n">
        <x:v>6</x:v>
      </x:c>
      <x:c r="B8" t="str">
        <x:v>FOUND-TRANS-001</x:v>
      </x:c>
      <x:c r="C8" t="str">
        <x:v>Ecclesiastical authority</x:v>
      </x:c>
      <x:c r="D8" t="str">
        <x:v>As governing corpus requires</x:v>
      </x:c>
      <x:c r="E8" t="str">
        <x:v>ECC-CON-001</x:v>
      </x:c>
      <x:c r="F8" t="str">
        <x:v>OPERATIONAL</x:v>
      </x:c>
      <x:c r="G8" t="str">
        <x:v>Founding Period begins</x:v>
      </x:c>
      <x:c r="H8" t="str"/>
      <x:c r="I8" t="str"/>
    </x:row>
    <x:row r="9">
      <x:c r="A9" t="n">
        <x:v>7</x:v>
      </x:c>
      <x:c r="B9" t="str">
        <x:v>GOV-PROC-001</x:v>
      </x:c>
      <x:c r="C9" t="str">
        <x:v>EC / competent ecclesiastical authority</x:v>
      </x:c>
      <x:c r="D9" t="str">
        <x:v>Board where civil procedures are implicated</x:v>
      </x:c>
      <x:c r="E9" t="str">
        <x:v>ECC-CON-001</x:v>
      </x:c>
      <x:c r="F9" t="str">
        <x:v>OPERATIONAL</x:v>
      </x:c>
      <x:c r="G9" t="str">
        <x:v>Governance actions begin</x:v>
      </x:c>
      <x:c r="H9" t="str"/>
      <x:c r="I9" t="str"/>
    </x:row>
    <x:row r="10">
      <x:c r="A10" t="n">
        <x:v>8</x:v>
      </x:c>
      <x:c r="B10" t="str">
        <x:v>JUR-001</x:v>
      </x:c>
      <x:c r="C10" t="str">
        <x:v>EC + Civil Board within respective jurisdictions</x:v>
      </x:c>
      <x:c r="D10" t="str">
        <x:v>Mutual concurrence on interface</x:v>
      </x:c>
      <x:c r="E10" t="str">
        <x:v>BYL-001 + ECC-CON-001</x:v>
      </x:c>
      <x:c r="F10" t="str">
        <x:v>OPERATIONAL</x:v>
      </x:c>
      <x:c r="G10" t="str">
        <x:v>Concurrent matters</x:v>
      </x:c>
      <x:c r="H10" t="str"/>
      <x:c r="I10" t="str"/>
    </x:row>
    <x:row r="11">
      <x:c r="A11" t="n">
        <x:v>9</x:v>
      </x:c>
      <x:c r="B11" t="str">
        <x:v>SAFE-001</x:v>
      </x:c>
      <x:c r="C11" t="str">
        <x:v>EC / competent authority</x:v>
      </x:c>
      <x:c r="D11" t="str">
        <x:v>Board for employment/facility/civil interfaces</x:v>
      </x:c>
      <x:c r="E11" t="str">
        <x:v>Basic accountability architecture</x:v>
      </x:c>
      <x:c r="F11" t="str">
        <x:v>ADOPTED</x:v>
      </x:c>
      <x:c r="G11" t="str">
        <x:v>Before youth/vulnerable ministry; activate reporting channels</x:v>
      </x:c>
      <x:c r="H11" t="str"/>
      <x:c r="I11" t="str"/>
    </x:row>
    <x:row r="12">
      <x:c r="A12" t="n">
        <x:v>10</x:v>
      </x:c>
      <x:c r="B12" t="str">
        <x:v>FIN-001 / CH-040 controls</x:v>
      </x:c>
      <x:c r="C12" t="str">
        <x:v>Civil Board</x:v>
      </x:c>
      <x:c r="D12" t="str">
        <x:v>Ecclesiastical concurrence for reserved/sacred interfaces</x:v>
      </x:c>
      <x:c r="E12" t="str">
        <x:v>Banking/accounting authorization</x:v>
      </x:c>
      <x:c r="F12" t="str">
        <x:v>OPERATIONAL</x:v>
      </x:c>
      <x:c r="G12" t="str">
        <x:v>Before material funds</x:v>
      </x:c>
      <x:c r="H12" t="str"/>
      <x:c r="I12" t="str"/>
    </x:row>
    <x:row r="13">
      <x:c r="A13" t="n">
        <x:v>11</x:v>
      </x:c>
      <x:c r="B13" t="str">
        <x:v>MEM-001 / CH-013-015</x:v>
      </x:c>
      <x:c r="C13" t="str">
        <x:v>EC</x:v>
      </x:c>
      <x:c r="D13" t="str">
        <x:v>As governing corpus requires</x:v>
      </x:c>
      <x:c r="E13" t="str">
        <x:v>Membership records/process ready</x:v>
      </x:c>
      <x:c r="F13" t="str">
        <x:v>ADOPTED</x:v>
      </x:c>
      <x:c r="G13" t="str">
        <x:v>Before Covenant Membership represented as active</x:v>
      </x:c>
      <x:c r="H13" t="str"/>
      <x:c r="I13" t="str"/>
    </x:row>
    <x:row r="14">
      <x:c r="A14" t="n">
        <x:v>12</x:v>
      </x:c>
      <x:c r="B14" t="str">
        <x:v>MIN-001 / CH-024-033</x:v>
      </x:c>
      <x:c r="C14" t="str">
        <x:v>EC / credentialing authority</x:v>
      </x:c>
      <x:c r="D14" t="str">
        <x:v>Safeguarding and formation controls</x:v>
      </x:c>
      <x:c r="E14" t="str">
        <x:v>Credential registry ready</x:v>
      </x:c>
      <x:c r="F14" t="str">
        <x:v>ADOPTED</x:v>
      </x:c>
      <x:c r="G14" t="str">
        <x:v>Before credentials issued</x:v>
      </x:c>
      <x:c r="H14" t="str"/>
      <x:c r="I14" t="str"/>
    </x:row>
    <x:row r="15">
      <x:c r="A15" t="n">
        <x:v>13</x:v>
      </x:c>
      <x:c r="B15" t="str">
        <x:v>LOCAL-001</x:v>
      </x:c>
      <x:c r="C15" t="str">
        <x:v>EC</x:v>
      </x:c>
      <x:c r="D15" t="str">
        <x:v>Board if civil entity/property effects</x:v>
      </x:c>
      <x:c r="E15" t="str">
        <x:v>Scale justifies local communities</x:v>
      </x:c>
      <x:c r="F15" t="str">
        <x:v>ADOPTED - NOT YET ACTIVATED</x:v>
      </x:c>
      <x:c r="G15" t="str">
        <x:v>First mature local community</x:v>
      </x:c>
      <x:c r="H15" t="str"/>
      <x:c r="I15" t="str"/>
    </x:row>
    <x:row r="16">
      <x:c r="A16" t="n">
        <x:v>14</x:v>
      </x:c>
      <x:c r="B16" t="str">
        <x:v>AFF-001</x:v>
      </x:c>
      <x:c r="C16" t="str">
        <x:v>EC</x:v>
      </x:c>
      <x:c r="D16" t="str">
        <x:v>CMA/Board/CCG as applicable</x:v>
      </x:c>
      <x:c r="E16" t="str">
        <x:v>External relationship proposed</x:v>
      </x:c>
      <x:c r="F16" t="str">
        <x:v>ADOPTED - NOT YET ACTIVATED</x:v>
      </x:c>
      <x:c r="G16" t="str">
        <x:v>Before binding affiliation</x:v>
      </x:c>
      <x:c r="H16" t="str"/>
      <x:c r="I16" t="str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24" hidden="0" customWidth="1"/>
    <x:col min="5" max="5" width="28" hidden="0" customWidth="1"/>
    <x:col min="6" max="6" width="28" hidden="0" customWidth="1"/>
    <x:col min="7" max="7" width="24" hidden="0" customWidth="1"/>
    <x:col min="8" max="8" width="30" hidden="0" customWidth="1"/>
    <x:col min="9" max="9" width="30" hidden="0" customWidth="1"/>
    <x:col min="10" max="10" width="30" hidden="0" customWidth="1"/>
  </x:cols>
  <x:sheetData>
    <x:row r="1">
      <x:c r="A1" s="4" t="str">
        <x:v>Placeholder Resolution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2" t="str">
        <x:v>Placeholder / Constant</x:v>
      </x:c>
      <x:c r="B2" s="12" t="str">
        <x:v>Target Documents</x:v>
      </x:c>
      <x:c r="C2" s="12" t="str">
        <x:v>Required Value</x:v>
      </x:c>
      <x:c r="D2" s="12" t="str">
        <x:v>Status</x:v>
      </x:c>
      <x:c r="E2" s="12" t="str">
        <x:v>Evidence Needed</x:v>
      </x:c>
      <x:c r="F2" s="12" t="str">
        <x:v>Owner</x:v>
      </x:c>
      <x:c r="G2" s="12" t="str">
        <x:v>Resolution Date</x:v>
      </x:c>
      <x:c r="H2" s="12" t="str">
        <x:v>Replacement Method</x:v>
      </x:c>
      <x:c r="I2" s="12" t="str">
        <x:v>Do Not Resolve Until</x:v>
      </x:c>
      <x:c r="J2" s="12" t="str">
        <x:v>Notes</x:v>
      </x:c>
    </x:row>
    <x:row r="3">
      <x:c r="A3" t="str">
        <x:v>[[CORP_NAME]]</x:v>
      </x:c>
      <x:c r="B3" t="str">
        <x:v>Entire corpus</x:v>
      </x:c>
      <x:c r="C3" t="str">
        <x:v>Exact legal corporate name</x:v>
      </x:c>
      <x:c r="D3" t="str">
        <x:v>OPEN</x:v>
      </x:c>
      <x:c r="E3" t="str">
        <x:v>Filed charter / state record</x:v>
      </x:c>
      <x:c r="F3" t="str">
        <x:v>Founder/Secretary</x:v>
      </x:c>
      <x:c r="G3" s="18"/>
      <x:c r="H3" t="str">
        <x:v>Bulk controlled substitution</x:v>
      </x:c>
      <x:c r="I3" t="str">
        <x:v>State filing accepted</x:v>
      </x:c>
      <x:c r="J3" t="str"/>
    </x:row>
    <x:row r="4">
      <x:c r="A4" t="str">
        <x:v>[[EIN]]</x:v>
      </x:c>
      <x:c r="B4" t="str">
        <x:v>Tax/finance filings and internal records</x:v>
      </x:c>
      <x:c r="C4" t="str">
        <x:v>Assigned EIN</x:v>
      </x:c>
      <x:c r="D4" t="str">
        <x:v>BLOCKED</x:v>
      </x:c>
      <x:c r="E4" t="str">
        <x:v>IRS EIN confirmation</x:v>
      </x:c>
      <x:c r="F4" t="str">
        <x:v>Treasurer/Responsible Party</x:v>
      </x:c>
      <x:c r="G4" s="18"/>
      <x:c r="H4" t="str">
        <x:v>Restricted constant substitution</x:v>
      </x:c>
      <x:c r="I4" t="str">
        <x:v>IRS assigns EIN</x:v>
      </x:c>
      <x:c r="J4" t="str"/>
    </x:row>
    <x:row r="5">
      <x:c r="A5" t="str">
        <x:v>[[DATE]]</x:v>
      </x:c>
      <x:c r="B5" t="str">
        <x:v>Adoption blocks</x:v>
      </x:c>
      <x:c r="C5" t="str">
        <x:v>Actual action date</x:v>
      </x:c>
      <x:c r="D5" t="str">
        <x:v>OPEN</x:v>
      </x:c>
      <x:c r="E5" t="str">
        <x:v>Signed minutes/resolution</x:v>
      </x:c>
      <x:c r="F5" t="str">
        <x:v>Secretary/Recorder</x:v>
      </x:c>
      <x:c r="G5" s="18"/>
      <x:c r="H5" t="str">
        <x:v>Per-document completion</x:v>
      </x:c>
      <x:c r="I5" t="str">
        <x:v>Action actually occurs</x:v>
      </x:c>
      <x:c r="J5" t="str">
        <x:v>Never backdate</x:v>
      </x:c>
    </x:row>
    <x:row r="6">
      <x:c r="A6" t="str">
        <x:v>[[ADOPTING_AUTHORITY]]</x:v>
      </x:c>
      <x:c r="B6" t="str">
        <x:v>Adoption blocks</x:v>
      </x:c>
      <x:c r="C6" t="str">
        <x:v>Actual competent body</x:v>
      </x:c>
      <x:c r="D6" t="str">
        <x:v>OPEN</x:v>
      </x:c>
      <x:c r="E6" t="str">
        <x:v>Governing corpus + minutes</x:v>
      </x:c>
      <x:c r="F6" t="str">
        <x:v>Secretary/Recorder</x:v>
      </x:c>
      <x:c r="G6" s="18"/>
      <x:c r="H6" t="str">
        <x:v>Per-document completion</x:v>
      </x:c>
      <x:c r="I6" t="str">
        <x:v>Jurisdiction confirmed</x:v>
      </x:c>
      <x:c r="J6" t="str"/>
    </x:row>
    <x:row r="7">
      <x:c r="A7" t="str">
        <x:v>[[PSL_NAME]]</x:v>
      </x:c>
      <x:c r="B7" t="str">
        <x:v>Ecclesiastical instruments</x:v>
      </x:c>
      <x:c r="C7" t="str">
        <x:v>Actual valid officeholder</x:v>
      </x:c>
      <x:c r="D7" t="str">
        <x:v>BLOCKED</x:v>
      </x:c>
      <x:c r="E7" t="str">
        <x:v>EC-FOUND-001 / succession decision</x:v>
      </x:c>
      <x:c r="F7" t="str">
        <x:v>EC Recorder</x:v>
      </x:c>
      <x:c r="G7" s="18"/>
      <x:c r="H7" t="str">
        <x:v>Controlled constant substitution</x:v>
      </x:c>
      <x:c r="I7" t="str">
        <x:v>Valid designation occurs</x:v>
      </x:c>
      <x:c r="J7" t="str"/>
    </x:row>
    <x:row r="8">
      <x:c r="A8" t="str">
        <x:v>[[ADDRESS]]</x:v>
      </x:c>
      <x:c r="B8" t="str">
        <x:v>Formation/facility records</x:v>
      </x:c>
      <x:c r="C8" t="str">
        <x:v>Exact applicable address</x:v>
      </x:c>
      <x:c r="D8" t="str">
        <x:v>OPEN</x:v>
      </x:c>
      <x:c r="E8" t="str">
        <x:v>Lease/deed/state filing/board record</x:v>
      </x:c>
      <x:c r="F8" t="str">
        <x:v>Secretary</x:v>
      </x:c>
      <x:c r="G8" s="18"/>
      <x:c r="H8" t="str">
        <x:v>Context-specific</x:v>
      </x:c>
      <x:c r="I8" t="str">
        <x:v>Address formally selected</x:v>
      </x:c>
      <x:c r="J8" t="str">
        <x:v>Avoid one address replacing all contexts</x:v>
      </x:c>
    </x:row>
    <x:row r="9">
      <x:c r="A9" t="str">
        <x:v>[[BOARD_ACTION / N/A]]</x:v>
      </x:c>
      <x:c r="B9" t="str">
        <x:v>Concurrent instruments</x:v>
      </x:c>
      <x:c r="C9" t="str">
        <x:v>Specific Board resolution or N/A</x:v>
      </x:c>
      <x:c r="D9" t="str">
        <x:v>OPEN</x:v>
      </x:c>
      <x:c r="E9" t="str">
        <x:v>Board minutes / jurisdiction analysis</x:v>
      </x:c>
      <x:c r="F9" t="str">
        <x:v>Secretary</x:v>
      </x:c>
      <x:c r="G9" s="18"/>
      <x:c r="H9" t="str">
        <x:v>Per-instrument</x:v>
      </x:c>
      <x:c r="I9" t="str">
        <x:v>Board action actually taken</x:v>
      </x:c>
      <x:c r="J9" t="str"/>
    </x:row>
    <x:row r="10">
      <x:c r="G10" s="18"/>
    </x:row>
    <x:row r="11">
      <x:c r="G11" s="18"/>
    </x:row>
    <x:row r="12">
      <x:c r="G12" s="18"/>
    </x:row>
    <x:row r="13">
      <x:c r="G13" s="18"/>
    </x:row>
    <x:row r="14">
      <x:c r="G14" s="18"/>
    </x:row>
    <x:row r="15">
      <x:c r="G15" s="18"/>
    </x:row>
    <x:row r="16">
      <x:c r="G16" s="18"/>
    </x:row>
    <x:row r="17">
      <x:c r="G17" s="18"/>
    </x:row>
    <x:row r="18">
      <x:c r="G18" s="18"/>
    </x:row>
    <x:row r="19">
      <x:c r="G19" s="18"/>
    </x:row>
    <x:row r="20">
      <x:c r="G20" s="18"/>
    </x:row>
    <x:row r="21">
      <x:c r="G21" s="18"/>
    </x:row>
    <x:row r="22">
      <x:c r="G22" s="18"/>
    </x:row>
    <x:row r="23">
      <x:c r="G23" s="18"/>
    </x:row>
    <x:row r="24">
      <x:c r="G24" s="18"/>
    </x:row>
    <x:row r="25">
      <x:c r="G25" s="18"/>
    </x:row>
    <x:row r="26">
      <x:c r="G26" s="18"/>
    </x:row>
    <x:row r="27">
      <x:c r="G27" s="18"/>
    </x:row>
    <x:row r="28">
      <x:c r="G28" s="18"/>
    </x:row>
    <x:row r="29">
      <x:c r="G29" s="18"/>
    </x:row>
    <x:row r="30">
      <x:c r="G30" s="18"/>
    </x:row>
    <x:row r="31">
      <x:c r="G31" s="18"/>
    </x:row>
    <x:row r="32">
      <x:c r="G32" s="18"/>
    </x:row>
    <x:row r="33">
      <x:c r="G33" s="18"/>
    </x:row>
    <x:row r="34">
      <x:c r="G34" s="18"/>
    </x:row>
    <x:row r="35">
      <x:c r="G35" s="18"/>
    </x:row>
    <x:row r="36">
      <x:c r="G36" s="18"/>
    </x:row>
    <x:row r="37">
      <x:c r="G37" s="18"/>
    </x:row>
    <x:row r="38">
      <x:c r="G38" s="18"/>
    </x:row>
    <x:row r="39">
      <x:c r="G39" s="18"/>
    </x:row>
    <x:row r="40">
      <x:c r="G40" s="18"/>
    </x:row>
    <x:row r="41">
      <x:c r="G41" s="18"/>
    </x:row>
    <x:row r="42">
      <x:c r="G42" s="18"/>
    </x:row>
    <x:row r="43">
      <x:c r="G43" s="18"/>
    </x:row>
    <x:row r="44">
      <x:c r="G44" s="18"/>
    </x:row>
    <x:row r="45">
      <x:c r="G45" s="18"/>
    </x:row>
    <x:row r="46">
      <x:c r="G46" s="18"/>
    </x:row>
    <x:row r="47">
      <x:c r="G47" s="18"/>
    </x:row>
    <x:row r="48">
      <x:c r="G48" s="18"/>
    </x:row>
    <x:row r="49">
      <x:c r="G49" s="18"/>
    </x:row>
    <x:row r="50">
      <x:c r="G50" s="18"/>
    </x:row>
    <x:row r="51">
      <x:c r="G51" s="18"/>
    </x:row>
    <x:row r="52">
      <x:c r="G52" s="18"/>
    </x:row>
    <x:row r="53">
      <x:c r="G53" s="18"/>
    </x:row>
    <x:row r="54">
      <x:c r="G54" s="18"/>
    </x:row>
    <x:row r="55">
      <x:c r="G55" s="18"/>
    </x:row>
    <x:row r="56">
      <x:c r="G56" s="18"/>
    </x:row>
    <x:row r="57">
      <x:c r="G57" s="18"/>
    </x:row>
    <x:row r="58">
      <x:c r="G58" s="18"/>
    </x:row>
    <x:row r="59">
      <x:c r="G59" s="18"/>
    </x:row>
    <x:row r="60">
      <x:c r="G60" s="18"/>
    </x:row>
    <x:row r="61">
      <x:c r="G61" s="18"/>
    </x:row>
    <x:row r="62">
      <x:c r="G62" s="18"/>
    </x:row>
    <x:row r="63">
      <x:c r="G63" s="18"/>
    </x:row>
    <x:row r="64">
      <x:c r="G64" s="18"/>
    </x:row>
    <x:row r="65">
      <x:c r="G65" s="18"/>
    </x:row>
    <x:row r="66">
      <x:c r="G66" s="18"/>
    </x:row>
    <x:row r="67">
      <x:c r="G67" s="18"/>
    </x:row>
    <x:row r="68">
      <x:c r="G68" s="18"/>
    </x:row>
    <x:row r="69">
      <x:c r="G69" s="18"/>
    </x:row>
    <x:row r="70">
      <x:c r="G70" s="18"/>
    </x:row>
    <x:row r="71">
      <x:c r="G71" s="18"/>
    </x:row>
    <x:row r="72">
      <x:c r="G72" s="18"/>
    </x:row>
    <x:row r="73">
      <x:c r="G73" s="18"/>
    </x:row>
    <x:row r="74">
      <x:c r="G74" s="18"/>
    </x:row>
    <x:row r="75">
      <x:c r="G75" s="18"/>
    </x:row>
    <x:row r="76">
      <x:c r="G76" s="18"/>
    </x:row>
    <x:row r="77">
      <x:c r="G77" s="18"/>
    </x:row>
    <x:row r="78">
      <x:c r="G78" s="18"/>
    </x:row>
    <x:row r="79">
      <x:c r="G79" s="18"/>
    </x:row>
    <x:row r="80">
      <x:c r="G80" s="18"/>
    </x:row>
    <x:row r="81">
      <x:c r="G81" s="18"/>
    </x:row>
    <x:row r="82">
      <x:c r="G82" s="18"/>
    </x:row>
    <x:row r="83">
      <x:c r="G83" s="18"/>
    </x:row>
    <x:row r="84">
      <x:c r="G84" s="18"/>
    </x:row>
    <x:row r="85">
      <x:c r="G85" s="18"/>
    </x:row>
    <x:row r="86">
      <x:c r="G86" s="18"/>
    </x:row>
    <x:row r="87">
      <x:c r="G87" s="18"/>
    </x:row>
    <x:row r="88">
      <x:c r="G88" s="18"/>
    </x:row>
    <x:row r="89">
      <x:c r="G89" s="18"/>
    </x:row>
    <x:row r="90">
      <x:c r="G90" s="18"/>
    </x:row>
    <x:row r="91">
      <x:c r="G91" s="18"/>
    </x:row>
    <x:row r="92">
      <x:c r="G92" s="18"/>
    </x:row>
    <x:row r="93">
      <x:c r="G93" s="18"/>
    </x:row>
    <x:row r="94">
      <x:c r="G94" s="18"/>
    </x:row>
    <x:row r="95">
      <x:c r="G95" s="18"/>
    </x:row>
    <x:row r="96">
      <x:c r="G96" s="18"/>
    </x:row>
    <x:row r="97">
      <x:c r="G97" s="18"/>
    </x:row>
    <x:row r="98">
      <x:c r="G98" s="18"/>
    </x:row>
    <x:row r="99">
      <x:c r="G99" s="18"/>
    </x:row>
    <x:row r="100">
      <x:c r="G100" s="18"/>
    </x:row>
    <x:row r="101">
      <x:c r="G101" s="18"/>
    </x:row>
    <x:row r="102">
      <x:c r="G102" s="18"/>
    </x:row>
    <x:row r="103">
      <x:c r="G103" s="18"/>
    </x:row>
    <x:row r="104">
      <x:c r="G104" s="18"/>
    </x:row>
    <x:row r="105">
      <x:c r="G105" s="18"/>
    </x:row>
    <x:row r="106">
      <x:c r="G106" s="18"/>
    </x:row>
    <x:row r="107">
      <x:c r="G107" s="18"/>
    </x:row>
    <x:row r="108">
      <x:c r="G108" s="18"/>
    </x:row>
    <x:row r="109">
      <x:c r="G109" s="18"/>
    </x:row>
    <x:row r="110">
      <x:c r="G110" s="18"/>
    </x:row>
    <x:row r="111">
      <x:c r="G111" s="18"/>
    </x:row>
    <x:row r="112">
      <x:c r="G112" s="18"/>
    </x:row>
    <x:row r="113">
      <x:c r="G113" s="18"/>
    </x:row>
    <x:row r="114">
      <x:c r="G114" s="18"/>
    </x:row>
    <x:row r="115">
      <x:c r="G115" s="18"/>
    </x:row>
    <x:row r="116">
      <x:c r="G116" s="18"/>
    </x:row>
    <x:row r="117">
      <x:c r="G117" s="18"/>
    </x:row>
    <x:row r="118">
      <x:c r="G118" s="18"/>
    </x:row>
    <x:row r="119">
      <x:c r="G119" s="18"/>
    </x:row>
    <x:row r="120">
      <x:c r="G120" s="18"/>
    </x:row>
    <x:row r="121">
      <x:c r="G121" s="18"/>
    </x:row>
    <x:row r="122">
      <x:c r="G122" s="18"/>
    </x:row>
    <x:row r="123">
      <x:c r="G123" s="18"/>
    </x:row>
    <x:row r="124">
      <x:c r="G124" s="18"/>
    </x:row>
    <x:row r="125">
      <x:c r="G125" s="18"/>
    </x:row>
    <x:row r="126">
      <x:c r="G126" s="18"/>
    </x:row>
    <x:row r="127">
      <x:c r="G127" s="18"/>
    </x:row>
    <x:row r="128">
      <x:c r="G128" s="18"/>
    </x:row>
    <x:row r="129">
      <x:c r="G129" s="18"/>
    </x:row>
    <x:row r="130">
      <x:c r="G130" s="18"/>
    </x:row>
    <x:row r="131">
      <x:c r="G131" s="18"/>
    </x:row>
    <x:row r="132">
      <x:c r="G132" s="18"/>
    </x:row>
    <x:row r="133">
      <x:c r="G133" s="18"/>
    </x:row>
    <x:row r="134">
      <x:c r="G134" s="18"/>
    </x:row>
    <x:row r="135">
      <x:c r="G135" s="18"/>
    </x:row>
    <x:row r="136">
      <x:c r="G136" s="18"/>
    </x:row>
    <x:row r="137">
      <x:c r="G137" s="18"/>
    </x:row>
    <x:row r="138">
      <x:c r="G138" s="18"/>
    </x:row>
    <x:row r="139">
      <x:c r="G139" s="18"/>
    </x:row>
    <x:row r="140">
      <x:c r="G140" s="18"/>
    </x:row>
    <x:row r="141">
      <x:c r="G141" s="18"/>
    </x:row>
    <x:row r="142">
      <x:c r="G142" s="18"/>
    </x:row>
    <x:row r="143">
      <x:c r="G143" s="18"/>
    </x:row>
    <x:row r="144">
      <x:c r="G144" s="18"/>
    </x:row>
    <x:row r="145">
      <x:c r="G145" s="18"/>
    </x:row>
    <x:row r="146">
      <x:c r="G146" s="18"/>
    </x:row>
    <x:row r="147">
      <x:c r="G147" s="18"/>
    </x:row>
    <x:row r="148">
      <x:c r="G148" s="18"/>
    </x:row>
    <x:row r="149">
      <x:c r="G149" s="18"/>
    </x:row>
    <x:row r="150">
      <x:c r="G150" s="18"/>
    </x:row>
    <x:row r="151">
      <x:c r="G151" s="18"/>
    </x:row>
    <x:row r="152">
      <x:c r="G152" s="18"/>
    </x:row>
    <x:row r="153">
      <x:c r="G153" s="18"/>
    </x:row>
    <x:row r="154">
      <x:c r="G154" s="18"/>
    </x:row>
    <x:row r="155">
      <x:c r="G155" s="18"/>
    </x:row>
    <x:row r="156">
      <x:c r="G156" s="18"/>
    </x:row>
    <x:row r="157">
      <x:c r="G157" s="18"/>
    </x:row>
    <x:row r="158">
      <x:c r="G158" s="18"/>
    </x:row>
    <x:row r="159">
      <x:c r="G159" s="18"/>
    </x:row>
    <x:row r="160">
      <x:c r="G160" s="18"/>
    </x:row>
    <x:row r="161">
      <x:c r="G161" s="18"/>
    </x:row>
    <x:row r="162">
      <x:c r="G162" s="18"/>
    </x:row>
    <x:row r="163">
      <x:c r="G163" s="18"/>
    </x:row>
    <x:row r="164">
      <x:c r="G164" s="18"/>
    </x:row>
    <x:row r="165">
      <x:c r="G165" s="18"/>
    </x:row>
    <x:row r="166">
      <x:c r="G166" s="18"/>
    </x:row>
    <x:row r="167">
      <x:c r="G167" s="18"/>
    </x:row>
    <x:row r="168">
      <x:c r="G168" s="18"/>
    </x:row>
    <x:row r="169">
      <x:c r="G169" s="18"/>
    </x:row>
    <x:row r="170">
      <x:c r="G170" s="18"/>
    </x:row>
    <x:row r="171">
      <x:c r="G171" s="18"/>
    </x:row>
    <x:row r="172">
      <x:c r="G172" s="18"/>
    </x:row>
    <x:row r="173">
      <x:c r="G173" s="18"/>
    </x:row>
    <x:row r="174">
      <x:c r="G174" s="18"/>
    </x:row>
    <x:row r="175">
      <x:c r="G175" s="18"/>
    </x:row>
    <x:row r="176">
      <x:c r="G176" s="18"/>
    </x:row>
    <x:row r="177">
      <x:c r="G177" s="18"/>
    </x:row>
    <x:row r="178">
      <x:c r="G178" s="18"/>
    </x:row>
    <x:row r="179">
      <x:c r="G179" s="18"/>
    </x:row>
    <x:row r="180">
      <x:c r="G180" s="18"/>
    </x:row>
    <x:row r="181">
      <x:c r="G181" s="18"/>
    </x:row>
    <x:row r="182">
      <x:c r="G182" s="18"/>
    </x:row>
    <x:row r="183">
      <x:c r="G183" s="18"/>
    </x:row>
    <x:row r="184">
      <x:c r="G184" s="18"/>
    </x:row>
    <x:row r="185">
      <x:c r="G185" s="18"/>
    </x:row>
    <x:row r="186">
      <x:c r="G186" s="18"/>
    </x:row>
    <x:row r="187">
      <x:c r="G187" s="18"/>
    </x:row>
    <x:row r="188">
      <x:c r="G188" s="18"/>
    </x:row>
    <x:row r="189">
      <x:c r="G189" s="18"/>
    </x:row>
    <x:row r="190">
      <x:c r="G190" s="18"/>
    </x:row>
    <x:row r="191">
      <x:c r="G191" s="18"/>
    </x:row>
    <x:row r="192">
      <x:c r="G192" s="18"/>
    </x:row>
    <x:row r="193">
      <x:c r="G193" s="18"/>
    </x:row>
    <x:row r="194">
      <x:c r="G194" s="18"/>
    </x:row>
    <x:row r="195">
      <x:c r="G195" s="18"/>
    </x:row>
    <x:row r="196">
      <x:c r="G196" s="18"/>
    </x:row>
    <x:row r="197">
      <x:c r="G197" s="18"/>
    </x:row>
    <x:row r="198">
      <x:c r="G198" s="18"/>
    </x:row>
    <x:row r="199">
      <x:c r="G199" s="18"/>
    </x:row>
    <x:row r="200">
      <x:c r="G200" s="18"/>
    </x:row>
    <x:row r="201">
      <x:c r="G201" s="18"/>
    </x:row>
    <x:row r="202">
      <x:c r="G202" s="18"/>
    </x:row>
    <x:row r="203">
      <x:c r="G203" s="18"/>
    </x:row>
    <x:row r="204">
      <x:c r="G204" s="18"/>
    </x:row>
    <x:row r="205">
      <x:c r="G205" s="18"/>
    </x:row>
    <x:row r="206">
      <x:c r="G206" s="18"/>
    </x:row>
    <x:row r="207">
      <x:c r="G207" s="18"/>
    </x:row>
    <x:row r="208">
      <x:c r="G208" s="18"/>
    </x:row>
    <x:row r="209">
      <x:c r="G209" s="18"/>
    </x:row>
    <x:row r="210">
      <x:c r="G210" s="18"/>
    </x:row>
    <x:row r="211">
      <x:c r="G211" s="18"/>
    </x:row>
    <x:row r="212">
      <x:c r="G212" s="18"/>
    </x:row>
    <x:row r="213">
      <x:c r="G213" s="18"/>
    </x:row>
    <x:row r="214">
      <x:c r="G214" s="18"/>
    </x:row>
    <x:row r="215">
      <x:c r="G215" s="18"/>
    </x:row>
    <x:row r="216">
      <x:c r="G216" s="18"/>
    </x:row>
    <x:row r="217">
      <x:c r="G217" s="18"/>
    </x:row>
    <x:row r="218">
      <x:c r="G218" s="18"/>
    </x:row>
    <x:row r="219">
      <x:c r="G219" s="18"/>
    </x:row>
    <x:row r="220">
      <x:c r="G220" s="18"/>
    </x:row>
    <x:row r="221">
      <x:c r="G221" s="18"/>
    </x:row>
    <x:row r="222">
      <x:c r="G222" s="18"/>
    </x:row>
    <x:row r="223">
      <x:c r="G223" s="18"/>
    </x:row>
    <x:row r="224">
      <x:c r="G224" s="18"/>
    </x:row>
    <x:row r="225">
      <x:c r="G225" s="18"/>
    </x:row>
    <x:row r="226">
      <x:c r="G226" s="18"/>
    </x:row>
    <x:row r="227">
      <x:c r="G227" s="18"/>
    </x:row>
    <x:row r="228">
      <x:c r="G228" s="18"/>
    </x:row>
    <x:row r="229">
      <x:c r="G229" s="18"/>
    </x:row>
    <x:row r="230">
      <x:c r="G230" s="18"/>
    </x:row>
    <x:row r="231">
      <x:c r="G231" s="18"/>
    </x:row>
    <x:row r="232">
      <x:c r="G232" s="18"/>
    </x:row>
    <x:row r="233">
      <x:c r="G233" s="18"/>
    </x:row>
    <x:row r="234">
      <x:c r="G234" s="18"/>
    </x:row>
    <x:row r="235">
      <x:c r="G235" s="18"/>
    </x:row>
    <x:row r="236">
      <x:c r="G236" s="18"/>
    </x:row>
    <x:row r="237">
      <x:c r="G237" s="18"/>
    </x:row>
    <x:row r="238">
      <x:c r="G238" s="18"/>
    </x:row>
    <x:row r="239">
      <x:c r="G239" s="18"/>
    </x:row>
    <x:row r="240">
      <x:c r="G240" s="18"/>
    </x:row>
    <x:row r="241">
      <x:c r="G241" s="18"/>
    </x:row>
    <x:row r="242">
      <x:c r="G242" s="18"/>
    </x:row>
    <x:row r="243">
      <x:c r="G243" s="18"/>
    </x:row>
    <x:row r="244">
      <x:c r="G244" s="18"/>
    </x:row>
    <x:row r="245">
      <x:c r="G245" s="18"/>
    </x:row>
    <x:row r="246">
      <x:c r="G246" s="18"/>
    </x:row>
    <x:row r="247">
      <x:c r="G247" s="18"/>
    </x:row>
    <x:row r="248">
      <x:c r="G248" s="18"/>
    </x:row>
    <x:row r="249">
      <x:c r="G249" s="18"/>
    </x:row>
    <x:row r="250">
      <x:c r="G250" s="18"/>
    </x:row>
    <x:row r="251">
      <x:c r="G251" s="18"/>
    </x:row>
    <x:row r="252">
      <x:c r="G252" s="18"/>
    </x:row>
    <x:row r="253">
      <x:c r="G253" s="18"/>
    </x:row>
    <x:row r="254">
      <x:c r="G254" s="18"/>
    </x:row>
    <x:row r="255">
      <x:c r="G255" s="18"/>
    </x:row>
    <x:row r="256">
      <x:c r="G256" s="18"/>
    </x:row>
    <x:row r="257">
      <x:c r="G257" s="18"/>
    </x:row>
    <x:row r="258">
      <x:c r="G258" s="18"/>
    </x:row>
    <x:row r="259">
      <x:c r="G259" s="18"/>
    </x:row>
    <x:row r="260">
      <x:c r="G260" s="18"/>
    </x:row>
    <x:row r="261">
      <x:c r="G261" s="18"/>
    </x:row>
    <x:row r="262">
      <x:c r="G262" s="18"/>
    </x:row>
    <x:row r="263">
      <x:c r="G263" s="18"/>
    </x:row>
    <x:row r="264">
      <x:c r="G264" s="18"/>
    </x:row>
    <x:row r="265">
      <x:c r="G265" s="18"/>
    </x:row>
    <x:row r="266">
      <x:c r="G266" s="18"/>
    </x:row>
    <x:row r="267">
      <x:c r="G267" s="18"/>
    </x:row>
    <x:row r="268">
      <x:c r="G268" s="18"/>
    </x:row>
    <x:row r="269">
      <x:c r="G269" s="18"/>
    </x:row>
    <x:row r="270">
      <x:c r="G270" s="18"/>
    </x:row>
    <x:row r="271">
      <x:c r="G271" s="18"/>
    </x:row>
    <x:row r="272">
      <x:c r="G272" s="18"/>
    </x:row>
    <x:row r="273">
      <x:c r="G273" s="18"/>
    </x:row>
    <x:row r="274">
      <x:c r="G274" s="18"/>
    </x:row>
    <x:row r="275">
      <x:c r="G275" s="18"/>
    </x:row>
    <x:row r="276">
      <x:c r="G276" s="18"/>
    </x:row>
    <x:row r="277">
      <x:c r="G277" s="18"/>
    </x:row>
    <x:row r="278">
      <x:c r="G278" s="18"/>
    </x:row>
    <x:row r="279">
      <x:c r="G279" s="18"/>
    </x:row>
    <x:row r="280">
      <x:c r="G280" s="18"/>
    </x:row>
    <x:row r="281">
      <x:c r="G281" s="18"/>
    </x:row>
    <x:row r="282">
      <x:c r="G282" s="18"/>
    </x:row>
    <x:row r="283">
      <x:c r="G283" s="18"/>
    </x:row>
    <x:row r="284">
      <x:c r="G284" s="18"/>
    </x:row>
    <x:row r="285">
      <x:c r="G285" s="18"/>
    </x:row>
    <x:row r="286">
      <x:c r="G286" s="18"/>
    </x:row>
    <x:row r="287">
      <x:c r="G287" s="18"/>
    </x:row>
    <x:row r="288">
      <x:c r="G288" s="18"/>
    </x:row>
    <x:row r="289">
      <x:c r="G289" s="18"/>
    </x:row>
    <x:row r="290">
      <x:c r="G290" s="18"/>
    </x:row>
    <x:row r="291">
      <x:c r="G291" s="18"/>
    </x:row>
    <x:row r="292">
      <x:c r="G292" s="18"/>
    </x:row>
    <x:row r="293">
      <x:c r="G293" s="18"/>
    </x:row>
    <x:row r="294">
      <x:c r="G294" s="18"/>
    </x:row>
    <x:row r="295">
      <x:c r="G295" s="18"/>
    </x:row>
    <x:row r="296">
      <x:c r="G296" s="18"/>
    </x:row>
    <x:row r="297">
      <x:c r="G297" s="18"/>
    </x:row>
    <x:row r="298">
      <x:c r="G298" s="18"/>
    </x:row>
    <x:row r="299">
      <x:c r="G299" s="18"/>
    </x:row>
    <x:row r="300">
      <x:c r="G300" s="18"/>
    </x:row>
  </x:sheetData>
  <x:mergeCells>
    <x:mergeCell ref="A1:J1"/>
  </x:mergeCells>
  <x:dataValidations count="1">
    <x:dataValidation type="list" sqref="D3:D300">
      <x:formula1>"OPEN,IN REVIEW,RESOLVED,BLOCKED,N/A"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34" hidden="0" customWidth="1"/>
  </x:cols>
  <x:sheetData>
    <x:row r="1">
      <x:c r="A1" s="4" t="str">
        <x:v>Canonical Repository Manifest</x:v>
      </x:c>
      <x:c r="B1" s="4"/>
      <x:c r="C1" s="4"/>
      <x:c r="D1" s="4"/>
      <x:c r="E1" s="4"/>
      <x:c r="F1" s="4"/>
    </x:row>
    <x:row r="2">
      <x:c r="A2" s="12" t="str">
        <x:v>Path</x:v>
      </x:c>
      <x:c r="B2" s="12" t="str">
        <x:v>Purpose</x:v>
      </x:c>
      <x:c r="C2" s="12" t="str">
        <x:v>Canonical?</x:v>
      </x:c>
      <x:c r="D2" s="12" t="str">
        <x:v>Sensitivity</x:v>
      </x:c>
      <x:c r="E2" s="12" t="str">
        <x:v>Retention</x:v>
      </x:c>
      <x:c r="F2" s="12" t="str">
        <x:v>Notes</x:v>
      </x:c>
    </x:row>
    <x:row r="3">
      <x:c r="A3" t="str">
        <x:v>00-control/</x:v>
      </x:c>
      <x:c r="B3" t="str">
        <x:v>Constants, identifiers, manifests, adoption and control registers</x:v>
      </x:c>
      <x:c r="C3" t="str">
        <x:v>Yes</x:v>
      </x:c>
      <x:c r="D3" t="str">
        <x:v>Internal</x:v>
      </x:c>
      <x:c r="E3" t="str">
        <x:v>Permanent</x:v>
      </x:c>
      <x:c r="F3" t="str"/>
    </x:row>
    <x:row r="4">
      <x:c r="A4" t="str">
        <x:v>01-formation/charter/</x:v>
      </x:c>
      <x:c r="B4" t="str">
        <x:v>Filed charter and amendments</x:v>
      </x:c>
      <x:c r="C4" t="str">
        <x:v>Yes</x:v>
      </x:c>
      <x:c r="D4" t="str">
        <x:v>Public/Internal</x:v>
      </x:c>
      <x:c r="E4" t="str">
        <x:v>Permanent</x:v>
      </x:c>
      <x:c r="F4" t="str"/>
    </x:row>
    <x:row r="5">
      <x:c r="A5" t="str">
        <x:v>01-formation/ein/</x:v>
      </x:c>
      <x:c r="B5" t="str">
        <x:v>EIN records</x:v>
      </x:c>
      <x:c r="C5" t="str">
        <x:v>Yes</x:v>
      </x:c>
      <x:c r="D5" t="str">
        <x:v>Restricted</x:v>
      </x:c>
      <x:c r="E5" t="str">
        <x:v>Permanent</x:v>
      </x:c>
      <x:c r="F5" t="str"/>
    </x:row>
    <x:row r="6">
      <x:c r="A6" t="str">
        <x:v>01-formation/organizational-actions/</x:v>
      </x:c>
      <x:c r="B6" t="str">
        <x:v>Initial civil organizational actions</x:v>
      </x:c>
      <x:c r="C6" t="str">
        <x:v>Yes</x:v>
      </x:c>
      <x:c r="D6" t="str">
        <x:v>Internal/Public as appropriate</x:v>
      </x:c>
      <x:c r="E6" t="str">
        <x:v>Permanent</x:v>
      </x:c>
      <x:c r="F6" t="str"/>
    </x:row>
    <x:row r="7">
      <x:c r="A7" t="str">
        <x:v>02-constitutional/</x:v>
      </x:c>
      <x:c r="B7" t="str">
        <x:v>Constitutions, bylaws, charters, codes</x:v>
      </x:c>
      <x:c r="C7" t="str">
        <x:v>Yes</x:v>
      </x:c>
      <x:c r="D7" t="str">
        <x:v>Public/Internal</x:v>
      </x:c>
      <x:c r="E7" t="str">
        <x:v>Permanent</x:v>
      </x:c>
      <x:c r="F7" t="str">
        <x:v>Versioned folders</x:v>
      </x:c>
    </x:row>
    <x:row r="8">
      <x:c r="A8" t="str">
        <x:v>03-doctrine-and-religious-life/</x:v>
      </x:c>
      <x:c r="B8" t="str">
        <x:v>Beliefs, doctrine, worship, rites, teaching</x:v>
      </x:c>
      <x:c r="C8" t="str">
        <x:v>Yes</x:v>
      </x:c>
      <x:c r="D8" t="str">
        <x:v>Public/Internal</x:v>
      </x:c>
      <x:c r="E8" t="str">
        <x:v>Permanent</x:v>
      </x:c>
      <x:c r="F8" t="str"/>
    </x:row>
    <x:row r="9">
      <x:c r="A9" t="str">
        <x:v>04-governance/</x:v>
      </x:c>
      <x:c r="B9" t="str">
        <x:v>Board, EC, CCG, EAC, CMA records</x:v>
      </x:c>
      <x:c r="C9" t="str">
        <x:v>Yes</x:v>
      </x:c>
      <x:c r="D9" t="str">
        <x:v>Mixed</x:v>
      </x:c>
      <x:c r="E9" t="str">
        <x:v>Permanent</x:v>
      </x:c>
      <x:c r="F9" t="str"/>
    </x:row>
    <x:row r="10">
      <x:c r="A10" t="str">
        <x:v>05-operations/</x:v>
      </x:c>
      <x:c r="B10" t="str">
        <x:v>Membership, ministry, safeguarding, finance, education, facilities</x:v>
      </x:c>
      <x:c r="C10" t="str">
        <x:v>Yes</x:v>
      </x:c>
      <x:c r="D10" t="str">
        <x:v>Mixed/Restricted</x:v>
      </x:c>
      <x:c r="E10" t="str">
        <x:v>Per CH-048</x:v>
      </x:c>
      <x:c r="F10" t="str"/>
    </x:row>
    <x:row r="11">
      <x:c r="A11" t="str">
        <x:v>06-templates/</x:v>
      </x:c>
      <x:c r="B11" t="str">
        <x:v>Approved blank templates</x:v>
      </x:c>
      <x:c r="C11" t="str">
        <x:v>Yes</x:v>
      </x:c>
      <x:c r="D11" t="str">
        <x:v>Internal/Public</x:v>
      </x:c>
      <x:c r="E11" t="str">
        <x:v>Current + archive</x:v>
      </x:c>
      <x:c r="F11" t="str">
        <x:v>No completed sensitive records here</x:v>
      </x:c>
    </x:row>
    <x:row r="12">
      <x:c r="A12" t="str">
        <x:v>07-records/</x:v>
      </x:c>
      <x:c r="B12" t="str">
        <x:v>Completed operational records</x:v>
      </x:c>
      <x:c r="C12" t="str">
        <x:v>Yes</x:v>
      </x:c>
      <x:c r="D12" t="str">
        <x:v>Mixed/Restricted</x:v>
      </x:c>
      <x:c r="E12" t="str">
        <x:v>Per record series</x:v>
      </x:c>
      <x:c r="F12" t="str"/>
    </x:row>
    <x:row r="13">
      <x:c r="A13" t="str">
        <x:v>08-evidence/</x:v>
      </x:c>
      <x:c r="B13" t="str">
        <x:v>Church-characteristics and filing exhibits</x:v>
      </x:c>
      <x:c r="C13" t="str">
        <x:v>Yes</x:v>
      </x:c>
      <x:c r="D13" t="str">
        <x:v>Internal</x:v>
      </x:c>
      <x:c r="E13" t="str">
        <x:v>Permanent/filing lifecycle</x:v>
      </x:c>
      <x:c r="F13" t="str"/>
    </x:row>
    <x:row r="14">
      <x:c r="A14" t="str">
        <x:v>09-tax-and-regulatory/</x:v>
      </x:c>
      <x:c r="B14" t="str">
        <x:v>Form 1023, Schedule A, correspondence, state compliance</x:v>
      </x:c>
      <x:c r="C14" t="str">
        <x:v>Yes</x:v>
      </x:c>
      <x:c r="D14" t="str">
        <x:v>Internal/Restricted</x:v>
      </x:c>
      <x:c r="E14" t="str">
        <x:v>Permanent</x:v>
      </x:c>
      <x:c r="F14" t="str"/>
    </x:row>
    <x:row r="15">
      <x:c r="A15" t="str">
        <x:v>99-archive/</x:v>
      </x:c>
      <x:c r="B15" t="str">
        <x:v>Superseded, withdrawn and historical drafts</x:v>
      </x:c>
      <x:c r="C15" t="str">
        <x:v>Yes</x:v>
      </x:c>
      <x:c r="D15" t="str">
        <x:v>Internal/Restricted</x:v>
      </x:c>
      <x:c r="E15" t="str">
        <x:v>Permanent where governance history</x:v>
      </x:c>
      <x:c r="F15" t="str">
        <x:v>Read-only where possible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25" hidden="0" customWidth="1"/>
    <x:col min="5" max="5" width="25" hidden="0" customWidth="1"/>
    <x:col min="6" max="6" width="25" hidden="0" customWidth="1"/>
    <x:col min="7" max="7" width="34" hidden="0" customWidth="1"/>
  </x:cols>
  <x:sheetData>
    <x:row r="1">
      <x:c r="A1" s="4" t="str">
        <x:v>Existing Corpus -&gt; Canonical Destination Map</x:v>
      </x:c>
      <x:c r="B1" s="4"/>
      <x:c r="C1" s="4"/>
      <x:c r="D1" s="4"/>
      <x:c r="E1" s="4"/>
      <x:c r="F1" s="4"/>
      <x:c r="G1" s="4"/>
    </x:row>
    <x:row r="2">
      <x:c r="A2" s="12" t="str">
        <x:v>Instrument / Family</x:v>
      </x:c>
      <x:c r="B2" s="12" t="str">
        <x:v>Current Source</x:v>
      </x:c>
      <x:c r="C2" s="12" t="str">
        <x:v>Canonical Destination</x:v>
      </x:c>
      <x:c r="D2" s="12" t="str">
        <x:v>Migration Status</x:v>
      </x:c>
      <x:c r="E2" s="12" t="str">
        <x:v>Target Version</x:v>
      </x:c>
      <x:c r="F2" s="12" t="str">
        <x:v>Verification</x:v>
      </x:c>
      <x:c r="G2" s="12" t="str">
        <x:v>Notes</x:v>
      </x:c>
    </x:row>
    <x:row r="3">
      <x:c r="A3" t="str">
        <x:v>CH-005 / BYL-001</x:v>
      </x:c>
      <x:c r="B3" t="str">
        <x:v>Church Establishment Day One Pack</x:v>
      </x:c>
      <x:c r="C3" t="str">
        <x:v>02-constitutional/BYL-001/0.1.0/</x:v>
      </x:c>
      <x:c r="D3" t="str">
        <x:v>Pending</x:v>
      </x:c>
      <x:c r="E3" t="str">
        <x:v>0.1.0</x:v>
      </x:c>
      <x:c r="F3" t="str">
        <x:v>Checksum + visual match</x:v>
      </x:c>
      <x:c r="G3" t="str">
        <x:v>Promote to 1.0.0 only upon adoption</x:v>
      </x:c>
    </x:row>
    <x:row r="4">
      <x:c r="A4" t="str">
        <x:v>CH-006 / ECC-CON-001</x:v>
      </x:c>
      <x:c r="B4" t="str">
        <x:v>Church Establishment Day One Pack</x:v>
      </x:c>
      <x:c r="C4" t="str">
        <x:v>02-constitutional/ECC-CON-001/0.1.0/</x:v>
      </x:c>
      <x:c r="D4" t="str">
        <x:v>Pending</x:v>
      </x:c>
      <x:c r="E4" t="str">
        <x:v>0.1.0</x:v>
      </x:c>
      <x:c r="F4" t="str">
        <x:v>Checksum + visual match</x:v>
      </x:c>
      <x:c r="G4" t="str"/>
    </x:row>
    <x:row r="5">
      <x:c r="A5" t="str">
        <x:v>CH-007–012</x:v>
      </x:c>
      <x:c r="B5" t="str">
        <x:v>Religious Identity Layer Pack</x:v>
      </x:c>
      <x:c r="C5" t="str">
        <x:v>03-doctrine-and-religious-life/</x:v>
      </x:c>
      <x:c r="D5" t="str">
        <x:v>Pending</x:v>
      </x:c>
      <x:c r="E5" t="str">
        <x:v>0.1.0</x:v>
      </x:c>
      <x:c r="F5" t="str">
        <x:v>Manifest + visual match</x:v>
      </x:c>
      <x:c r="G5" t="str"/>
    </x:row>
    <x:row r="6">
      <x:c r="A6" t="str">
        <x:v>CH-013–023</x:v>
      </x:c>
      <x:c r="B6" t="str">
        <x:v>Congregational Operations Layer Pack</x:v>
      </x:c>
      <x:c r="C6" t="str">
        <x:v>05-operations/ + 07-records standards</x:v>
      </x:c>
      <x:c r="D6" t="str">
        <x:v>Pending</x:v>
      </x:c>
      <x:c r="E6" t="str">
        <x:v>0.1.0</x:v>
      </x:c>
      <x:c r="F6" t="str">
        <x:v>Manifest + visual match</x:v>
      </x:c>
      <x:c r="G6" t="str"/>
    </x:row>
    <x:row r="7">
      <x:c r="A7" t="str">
        <x:v>CH-024–033</x:v>
      </x:c>
      <x:c r="B7" t="str">
        <x:v>Ministry and Education Layer Pack</x:v>
      </x:c>
      <x:c r="C7" t="str">
        <x:v>05-operations/ministry/ + education/</x:v>
      </x:c>
      <x:c r="D7" t="str">
        <x:v>Pending</x:v>
      </x:c>
      <x:c r="E7" t="str">
        <x:v>0.1.0</x:v>
      </x:c>
      <x:c r="F7" t="str">
        <x:v>Manifest + visual match</x:v>
      </x:c>
      <x:c r="G7" t="str"/>
    </x:row>
    <x:row r="8">
      <x:c r="A8" t="str">
        <x:v>CH-034–048</x:v>
      </x:c>
      <x:c r="B8" t="str">
        <x:v>Organizational Compliance Layer Pack</x:v>
      </x:c>
      <x:c r="C8" t="str">
        <x:v>05-operations/finance/ + 09-tax-and-regulatory/compliance/</x:v>
      </x:c>
      <x:c r="D8" t="str">
        <x:v>Pending</x:v>
      </x:c>
      <x:c r="E8" t="str">
        <x:v>0.1.0</x:v>
      </x:c>
      <x:c r="F8" t="str">
        <x:v>Manifest + visual match</x:v>
      </x:c>
      <x:c r="G8" t="str"/>
    </x:row>
    <x:row r="9">
      <x:c r="A9" t="str">
        <x:v>CH-049–054</x:v>
      </x:c>
      <x:c r="B9" t="str">
        <x:v>IRS Determination Package</x:v>
      </x:c>
      <x:c r="C9" t="str">
        <x:v>09-tax-and-regulatory/form-1023/</x:v>
      </x:c>
      <x:c r="D9" t="str">
        <x:v>Pending</x:v>
      </x:c>
      <x:c r="E9" t="str">
        <x:v>0.1.0</x:v>
      </x:c>
      <x:c r="F9" t="str">
        <x:v>Manifest + visual match</x:v>
      </x:c>
      <x:c r="G9" t="str">
        <x:v>Draft until real facts populated</x:v>
      </x:c>
    </x:row>
    <x:row r="10">
      <x:c r="A10" t="str">
        <x:v>Remaining constitutional instruments</x:v>
      </x:c>
      <x:c r="B10" t="str">
        <x:v>Remaining Constitutional Documents Pack</x:v>
      </x:c>
      <x:c r="C10" t="str">
        <x:v>02-constitutional/</x:v>
      </x:c>
      <x:c r="D10" t="str">
        <x:v>Pending</x:v>
      </x:c>
      <x:c r="E10" t="str">
        <x:v>0.1.0</x:v>
      </x:c>
      <x:c r="F10" t="str">
        <x:v>Manifest + visual match</x:v>
      </x:c>
      <x:c r="G10" t="str"/>
    </x:row>
    <x:row r="11">
      <x:c r="A11" t="str">
        <x:v>Implementation manuals</x:v>
      </x:c>
      <x:c r="B11" t="str">
        <x:v>Operational Implementation Manuals Pack</x:v>
      </x:c>
      <x:c r="C11" t="str">
        <x:v>05-operations/ + 06-templates/manuals/</x:v>
      </x:c>
      <x:c r="D11" t="str">
        <x:v>Pending</x:v>
      </x:c>
      <x:c r="E11" t="str">
        <x:v>0.1.0</x:v>
      </x:c>
      <x:c r="F11" t="str">
        <x:v>Manifest + visual match</x:v>
      </x:c>
      <x:c r="G11" t="str"/>
    </x:row>
    <x:row r="12">
      <x:c r="A12" t="str">
        <x:v>56 working templates</x:v>
      </x:c>
      <x:c r="B12" t="str">
        <x:v>Operational Working Template System</x:v>
      </x:c>
      <x:c r="C12" t="str">
        <x:v>06-templates/</x:v>
      </x:c>
      <x:c r="D12" t="str">
        <x:v>Pending</x:v>
      </x:c>
      <x:c r="E12" t="str">
        <x:v>1.0.0-draft</x:v>
      </x:c>
      <x:c r="F12" t="str">
        <x:v>Catalog count + checksums</x:v>
      </x:c>
      <x:c r="G12" t="str">
        <x:v>Blank templates only</x:v>
      </x:c>
    </x:row>
  </x:sheetData>
  <x:mergeCells>
    <x:mergeCell ref="A1:G1"/>
  </x:mergeCells>
  <x:dataValidations count="1">
    <x:dataValidation type="list" sqref="D3:D200">
      <x:formula1>"Pending,In Progress,Verified,Activated,Archived"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2" hidden="0" customWidth="1"/>
    <x:col min="7" max="7" width="32" hidden="0" customWidth="1"/>
    <x:col min="8" max="8" width="32" hidden="0" customWidth="1"/>
  </x:cols>
  <x:sheetData>
    <x:row r="1">
      <x:c r="A1" s="4" t="str">
        <x:v>Institutional Activation Dashboard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Metric</x:v>
      </x:c>
      <x:c r="B3" s="12" t="str">
        <x:v>Value</x:v>
      </x:c>
      <x:c r="D3" s="12" t="str">
        <x:v>Activation Gate</x:v>
      </x:c>
      <x:c r="E3" s="12" t="str">
        <x:v>Status</x:v>
      </x:c>
      <x:c r="F3" s="12" t="str">
        <x:v>Evidence / Dependency</x:v>
      </x:c>
      <x:c r="G3" s="12" t="str">
        <x:v>Owner</x:v>
      </x:c>
      <x:c r="H3" s="12" t="str">
        <x:v>Notes</x:v>
      </x:c>
    </x:row>
    <x:row r="4">
      <x:c r="A4" t="str">
        <x:v>Verified constants</x:v>
      </x:c>
      <x:c r="B4" t="n">
        <x:f>COUNTIF('Organization Constants'!C3:C200,"VERIFIED")</x:f>
        <x:v>1</x:v>
      </x:c>
      <x:c r="D4" t="str">
        <x:v>Repository scaffold</x:v>
      </x:c>
      <x:c r="E4" t="str">
        <x:v>Not Started</x:v>
      </x:c>
      <x:c r="F4" t="str">
        <x:v>Run scaffold script</x:v>
      </x:c>
      <x:c r="G4" t="str">
        <x:v>Records Custodian</x:v>
      </x:c>
      <x:c r="H4" t="str"/>
    </x:row>
    <x:row r="5">
      <x:c r="A5" t="str">
        <x:v>Unresolved constants</x:v>
      </x:c>
      <x:c r="B5" t="n">
        <x:f>COUNTA('Organization Constants'!A3:A200)-COUNTIF('Organization Constants'!C3:C200,"VERIFIED")</x:f>
        <x:v>22</x:v>
      </x:c>
      <x:c r="D5" t="str">
        <x:v>Civil entity verified</x:v>
      </x:c>
      <x:c r="E5" t="str">
        <x:v>Not Started</x:v>
      </x:c>
      <x:c r="F5" t="str">
        <x:v>Filed charter</x:v>
      </x:c>
      <x:c r="G5" t="str">
        <x:v>Founder/Secretary</x:v>
      </x:c>
      <x:c r="H5" t="str"/>
    </x:row>
    <x:row r="6">
      <x:c r="A6" t="str">
        <x:v>Adopted instruments</x:v>
      </x:c>
      <x:c r="B6" t="n">
        <x:f>COUNTIF('Adoption Register'!I3:I300,"ADOPTED")+COUNTIF('Adoption Register'!I3:I300,"ADOPTED - NOT YET ACTIVATED")+COUNTIF('Adoption Register'!I3:I300,"OPERATIONAL")</x:f>
        <x:v>0</x:v>
      </x:c>
      <x:c r="D6" t="str">
        <x:v>Initial Board organized</x:v>
      </x:c>
      <x:c r="E6" t="str">
        <x:v>Not Started</x:v>
      </x:c>
      <x:c r="F6" t="str">
        <x:v>BOARD-ACT-001</x:v>
      </x:c>
      <x:c r="G6" t="str">
        <x:v>Secretary</x:v>
      </x:c>
      <x:c r="H6" t="str"/>
    </x:row>
    <x:row r="7">
      <x:c r="A7" t="str">
        <x:v>Operational instruments</x:v>
      </x:c>
      <x:c r="B7" t="n">
        <x:f>COUNTIF('Adoption Register'!I3:I300,"OPERATIONAL")</x:f>
        <x:v>0</x:v>
      </x:c>
      <x:c r="D7" t="str">
        <x:v>Ecclesiastical founding action</x:v>
      </x:c>
      <x:c r="E7" t="str">
        <x:v>Not Started</x:v>
      </x:c>
      <x:c r="F7" t="str">
        <x:v>EC-FOUND-001</x:v>
      </x:c>
      <x:c r="G7" t="str">
        <x:v>EC Recorder</x:v>
      </x:c>
      <x:c r="H7" t="str"/>
    </x:row>
    <x:row r="8">
      <x:c r="A8" t="str">
        <x:v>Draft instruments</x:v>
      </x:c>
      <x:c r="B8" t="n">
        <x:f>COUNTIF('Adoption Register'!I3:I300,"DRAFT")</x:f>
        <x:v>11</x:v>
      </x:c>
      <x:c r="D8" t="str">
        <x:v>Core corpus adopted</x:v>
      </x:c>
      <x:c r="E8" t="str">
        <x:v>Not Started</x:v>
      </x:c>
      <x:c r="F8" t="str">
        <x:v>Adoption Register</x:v>
      </x:c>
      <x:c r="G8" t="str">
        <x:v>Secretary/Recorder</x:v>
      </x:c>
      <x:c r="H8" t="str"/>
    </x:row>
    <x:row r="9">
      <x:c r="A9" t="str">
        <x:v>Open placeholders</x:v>
      </x:c>
      <x:c r="B9" t="n">
        <x:f>COUNTIF('Placeholder Register'!D3:D300,"OPEN")+COUNTIF('Placeholder Register'!D3:D300,"BLOCKED")+COUNTIF('Placeholder Register'!D3:D300,"IN REVIEW")</x:f>
        <x:v>7</x:v>
      </x:c>
      <x:c r="D9" t="str">
        <x:v>Operational systems activated</x:v>
      </x:c>
      <x:c r="E9" t="str">
        <x:v>Not Started</x:v>
      </x:c>
      <x:c r="F9" t="str">
        <x:v>Safeguarding/finance/membership/ministry gates</x:v>
      </x:c>
      <x:c r="G9" t="str">
        <x:v>Responsible officers</x:v>
      </x:c>
      <x:c r="H9" t="str"/>
    </x:row>
    <x:row r="10">
      <x:c r="A10" t="str">
        <x:v>Resolved placeholders</x:v>
      </x:c>
      <x:c r="B10" t="n">
        <x:f>COUNTIF('Placeholder Register'!D3:D300,"RESOLVED")</x:f>
        <x:v>0</x:v>
      </x:c>
    </x:row>
    <x:row r="11">
      <x:c r="A11" t="str">
        <x:v>Migrated corpus items</x:v>
      </x:c>
      <x:c r="B11" t="n">
        <x:f>COUNTIF('Corpus Migration Map'!D3:D200,"Verified")+COUNTIF('Corpus Migration Map'!D3:D200,"Activated")</x:f>
        <x:v>0</x:v>
      </x:c>
    </x:row>
  </x:sheetData>
  <x:mergeCells>
    <x:mergeCell ref="A1:H1"/>
  </x:mergeCells>
  <x:dataValidations count="1">
    <x:dataValidation type="list" sqref="E4:E20">
      <x:formula1>"Not Started,In Progress,Blocked,Complete,N/A"</x:formula1>
    </x:dataValidation>
  </x:dataValidations>
  <x:pageMargins left="0.7" right="0.7" top="0.75" bottom="0.75" header="0.3" footer="0.3"/>
</x:worksheet>
</file>